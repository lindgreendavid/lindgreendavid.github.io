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ve7\Desktop\CareerMaxing\website\public\downloads\pharma-valuation\"/>
    </mc:Choice>
  </mc:AlternateContent>
  <xr:revisionPtr revIDLastSave="0" documentId="13_ncr:1_{FCC415F7-A031-4BB3-95B6-003E60DBA6EE}" xr6:coauthVersionLast="47" xr6:coauthVersionMax="47" xr10:uidLastSave="{00000000-0000-0000-0000-000000000000}"/>
  <bookViews>
    <workbookView xWindow="5370" yWindow="915" windowWidth="21600" windowHeight="11295" xr2:uid="{00000000-000D-0000-FFFF-FFFF00000000}"/>
  </bookViews>
  <sheets>
    <sheet name="README" sheetId="1" r:id="rId1"/>
    <sheet name="Dataset" sheetId="2" r:id="rId2"/>
    <sheet name="FX" sheetId="3" r:id="rId3"/>
    <sheet name="Comparables" sheetId="4" r:id="rId4"/>
    <sheet name="DCF" sheetId="5" r:id="rId5"/>
    <sheet name="Sensitivity" sheetId="6" r:id="rId6"/>
    <sheet name="Checks" sheetId="7" r:id="rId7"/>
  </sheets>
  <calcPr calcId="181029"/>
</workbook>
</file>

<file path=xl/calcChain.xml><?xml version="1.0" encoding="utf-8"?>
<calcChain xmlns="http://schemas.openxmlformats.org/spreadsheetml/2006/main">
  <c r="B3" i="7" l="1"/>
  <c r="B43" i="5"/>
  <c r="B41" i="5"/>
  <c r="B40" i="5"/>
  <c r="B39" i="5"/>
  <c r="B38" i="5"/>
  <c r="B37" i="5"/>
  <c r="F27" i="5"/>
  <c r="E27" i="5"/>
  <c r="D27" i="5"/>
  <c r="C27" i="5"/>
  <c r="B4" i="7" s="1"/>
  <c r="B27" i="5"/>
  <c r="F17" i="5"/>
  <c r="E17" i="5"/>
  <c r="D17" i="5"/>
  <c r="C17" i="5"/>
  <c r="B17" i="5"/>
  <c r="B5" i="5"/>
  <c r="Q10" i="4"/>
  <c r="P10" i="4"/>
  <c r="M10" i="4"/>
  <c r="L10" i="4"/>
  <c r="K10" i="4"/>
  <c r="I10" i="4"/>
  <c r="G10" i="4"/>
  <c r="E10" i="4"/>
  <c r="D10" i="4"/>
  <c r="Q9" i="4"/>
  <c r="R9" i="4" s="1"/>
  <c r="P9" i="4"/>
  <c r="M9" i="4"/>
  <c r="L9" i="4"/>
  <c r="K9" i="4"/>
  <c r="I9" i="4"/>
  <c r="G9" i="4"/>
  <c r="E9" i="4"/>
  <c r="D9" i="4"/>
  <c r="Q8" i="4"/>
  <c r="P8" i="4"/>
  <c r="M8" i="4"/>
  <c r="L8" i="4"/>
  <c r="K8" i="4"/>
  <c r="I8" i="4"/>
  <c r="J8" i="4" s="1"/>
  <c r="G8" i="4"/>
  <c r="E8" i="4"/>
  <c r="D8" i="4"/>
  <c r="Q7" i="4"/>
  <c r="P7" i="4"/>
  <c r="M7" i="4"/>
  <c r="L7" i="4"/>
  <c r="K7" i="4"/>
  <c r="I7" i="4"/>
  <c r="G7" i="4"/>
  <c r="E7" i="4"/>
  <c r="D7" i="4"/>
  <c r="S7" i="4" s="1"/>
  <c r="Q6" i="4"/>
  <c r="P6" i="4"/>
  <c r="M6" i="4"/>
  <c r="L6" i="4"/>
  <c r="K6" i="4"/>
  <c r="I6" i="4"/>
  <c r="G6" i="4"/>
  <c r="E6" i="4"/>
  <c r="D6" i="4"/>
  <c r="S6" i="4" s="1"/>
  <c r="Q5" i="4"/>
  <c r="R5" i="4" s="1"/>
  <c r="P5" i="4"/>
  <c r="M5" i="4"/>
  <c r="L5" i="4"/>
  <c r="K5" i="4"/>
  <c r="I5" i="4"/>
  <c r="J5" i="4" s="1"/>
  <c r="G5" i="4"/>
  <c r="H5" i="4" s="1"/>
  <c r="E5" i="4"/>
  <c r="F5" i="4" s="1"/>
  <c r="D5" i="4"/>
  <c r="S5" i="4" s="1"/>
  <c r="Q4" i="4"/>
  <c r="P4" i="4"/>
  <c r="M4" i="4"/>
  <c r="L4" i="4"/>
  <c r="K4" i="4"/>
  <c r="I4" i="4"/>
  <c r="J4" i="4" s="1"/>
  <c r="G4" i="4"/>
  <c r="E4" i="4"/>
  <c r="D4" i="4"/>
  <c r="S4" i="4" s="1"/>
  <c r="Q3" i="4"/>
  <c r="R3" i="4" s="1"/>
  <c r="P3" i="4"/>
  <c r="M3" i="4"/>
  <c r="L3" i="4"/>
  <c r="K3" i="4"/>
  <c r="I3" i="4"/>
  <c r="G3" i="4"/>
  <c r="E3" i="4"/>
  <c r="D3" i="4"/>
  <c r="S3" i="4" s="1"/>
  <c r="Q2" i="4"/>
  <c r="R2" i="4" s="1"/>
  <c r="P2" i="4"/>
  <c r="M2" i="4"/>
  <c r="L2" i="4"/>
  <c r="K2" i="4"/>
  <c r="I2" i="4"/>
  <c r="J2" i="4" s="1"/>
  <c r="G2" i="4"/>
  <c r="E2" i="4"/>
  <c r="D2" i="4"/>
  <c r="S2" i="4" s="1"/>
  <c r="G4" i="3"/>
  <c r="F4" i="3"/>
  <c r="G3" i="3"/>
  <c r="F3" i="3"/>
  <c r="G2" i="3"/>
  <c r="F2" i="3"/>
  <c r="S8" i="4" s="1"/>
  <c r="R10" i="4" l="1"/>
  <c r="J10" i="4"/>
  <c r="H10" i="4"/>
  <c r="F10" i="4"/>
  <c r="S10" i="4"/>
  <c r="J3" i="4"/>
  <c r="J9" i="4"/>
  <c r="H9" i="4"/>
  <c r="F9" i="4"/>
  <c r="S9" i="4"/>
  <c r="R8" i="4"/>
  <c r="H8" i="4"/>
  <c r="F8" i="4"/>
  <c r="R7" i="4"/>
  <c r="F2" i="4"/>
  <c r="J7" i="4"/>
  <c r="H7" i="4"/>
  <c r="F7" i="4"/>
  <c r="R6" i="4"/>
  <c r="F4" i="4"/>
  <c r="H3" i="4"/>
  <c r="J6" i="4"/>
  <c r="H6" i="4"/>
  <c r="F6" i="4"/>
  <c r="H2" i="4"/>
  <c r="F3" i="4"/>
  <c r="R4" i="4"/>
  <c r="B9" i="7" s="1"/>
  <c r="H4" i="4"/>
  <c r="N5" i="4"/>
  <c r="O5" i="4"/>
  <c r="T5" i="4" s="1"/>
  <c r="B19" i="5"/>
  <c r="B6" i="5"/>
  <c r="O10" i="4"/>
  <c r="T10" i="4" s="1"/>
  <c r="N10" i="4"/>
  <c r="O9" i="4"/>
  <c r="T9" i="4" s="1"/>
  <c r="N9" i="4"/>
  <c r="O8" i="4"/>
  <c r="T8" i="4" s="1"/>
  <c r="N8" i="4"/>
  <c r="N7" i="4"/>
  <c r="O7" i="4"/>
  <c r="T7" i="4" s="1"/>
  <c r="N6" i="4"/>
  <c r="O6" i="4"/>
  <c r="T6" i="4" s="1"/>
  <c r="N4" i="4"/>
  <c r="O4" i="4"/>
  <c r="T4" i="4" s="1"/>
  <c r="O3" i="4"/>
  <c r="T3" i="4" s="1"/>
  <c r="N3" i="4"/>
  <c r="O2" i="4"/>
  <c r="T2" i="4" s="1"/>
  <c r="N2" i="4"/>
  <c r="C19" i="5" l="1"/>
  <c r="B23" i="5"/>
  <c r="B24" i="5"/>
  <c r="B25" i="5"/>
  <c r="B20" i="5"/>
  <c r="B21" i="5" s="1"/>
  <c r="B22" i="5" s="1"/>
  <c r="B26" i="5" s="1"/>
  <c r="C20" i="5"/>
  <c r="D20" i="5"/>
  <c r="E20" i="5"/>
  <c r="F20" i="5"/>
  <c r="D19" i="5" l="1"/>
  <c r="C21" i="5"/>
  <c r="C22" i="5" s="1"/>
  <c r="C23" i="5"/>
  <c r="C24" i="5"/>
  <c r="C25" i="5"/>
  <c r="B28" i="5"/>
  <c r="E19" i="5" l="1"/>
  <c r="D21" i="5"/>
  <c r="D22" i="5" s="1"/>
  <c r="D23" i="5"/>
  <c r="D24" i="5"/>
  <c r="D25" i="5"/>
  <c r="C26" i="5"/>
  <c r="F19" i="5" l="1"/>
  <c r="E21" i="5"/>
  <c r="E22" i="5" s="1"/>
  <c r="E23" i="5"/>
  <c r="E24" i="5"/>
  <c r="E25" i="5"/>
  <c r="C28" i="5"/>
  <c r="D26" i="5"/>
  <c r="F21" i="5" l="1"/>
  <c r="F22" i="5" s="1"/>
  <c r="F23" i="5"/>
  <c r="F24" i="5"/>
  <c r="F25" i="5"/>
  <c r="E26" i="5"/>
  <c r="D28" i="5"/>
  <c r="D5" i="6" l="1"/>
  <c r="B5" i="6"/>
  <c r="C9" i="6"/>
  <c r="F9" i="6"/>
  <c r="B10" i="6"/>
  <c r="C10" i="6"/>
  <c r="E10" i="6"/>
  <c r="D11" i="6"/>
  <c r="E11" i="6"/>
  <c r="F11" i="6"/>
  <c r="D6" i="6"/>
  <c r="E9" i="6"/>
  <c r="E28" i="5"/>
  <c r="F26" i="5"/>
  <c r="C5" i="6" l="1"/>
  <c r="E6" i="6"/>
  <c r="C8" i="6"/>
  <c r="F8" i="6"/>
  <c r="B9" i="6"/>
  <c r="D9" i="6"/>
  <c r="F5" i="6"/>
  <c r="D7" i="6"/>
  <c r="E7" i="6"/>
  <c r="B11" i="6"/>
  <c r="B31" i="5"/>
  <c r="B32" i="5" s="1"/>
  <c r="F28" i="5"/>
  <c r="B30" i="5" s="1"/>
  <c r="B33" i="5" s="1"/>
  <c r="F6" i="6"/>
  <c r="C6" i="6"/>
  <c r="E5" i="6"/>
  <c r="D10" i="6"/>
  <c r="F10" i="6"/>
  <c r="B6" i="6"/>
  <c r="C7" i="6"/>
  <c r="C11" i="6"/>
  <c r="D8" i="6"/>
  <c r="F7" i="6"/>
  <c r="B7" i="6"/>
  <c r="B8" i="6"/>
  <c r="E8" i="6"/>
  <c r="B8" i="7" l="1"/>
  <c r="B42" i="5"/>
  <c r="B34" i="5"/>
  <c r="B5" i="7" s="1"/>
  <c r="B2" i="7" l="1"/>
  <c r="B44" i="5"/>
  <c r="B6" i="7" l="1"/>
  <c r="B7" i="7"/>
</calcChain>
</file>

<file path=xl/sharedStrings.xml><?xml version="1.0" encoding="utf-8"?>
<sst xmlns="http://schemas.openxmlformats.org/spreadsheetml/2006/main" count="1263" uniqueCount="189">
  <si>
    <t>Pharma Valuation Explorer: model workbook</t>
  </si>
  <si>
    <t>Generated 2026-10-20 from public SEC XBRL data (Forms 20-F) and ECB reference rates.</t>
  </si>
  <si>
    <t>What this is</t>
  </si>
  <si>
    <t>A transparent comparison of Novartis, AstraZeneca and GSK for FY2023-FY2025, and a DCF for AstraZeneca. It is an educational model, not investment advice or a price target.</t>
  </si>
  <si>
    <t>Sheets</t>
  </si>
  <si>
    <t>Dataset: every figure with its XBRL tag, SEC accession number and filing date. FX: ECB reference rates. Comparables: formulas over Dataset. DCF: inputs in blue, formulas elsewhere. Sensitivity: value per share across WACC and terminal growth. Checks: identity tests.</t>
  </si>
  <si>
    <t>Key definitions</t>
  </si>
  <si>
    <t>Revenue: AstraZeneca total revenue; GSK turnover; Novartis net sales plus other revenues. Profit: continuing operations (Novartis 2023 excludes the Sandoz distribution gain).</t>
  </si>
  <si>
    <t>Debt: financial debt including lease liabilities. Net debt: debt less cash and, for Novartis, marketable securities and time deposits. Free cash flow: operating cash flow less purchases of PP&amp;E (and, in the stricter version, intangible assets).</t>
  </si>
  <si>
    <t>GSK is reported in GBP; USD translation uses ECB rates (annual average for flows, year-end for balances).</t>
  </si>
  <si>
    <t>Limits you should know</t>
  </si>
  <si>
    <t>The DCF bridge is partial: it omits contingent consideration, litigation and other provisions, deferred tax, other investments and any dividends declared. Terminal value is about three quarters of enterprise value in the base case. Scenario assumptions are illustrative, not forecasts.</t>
  </si>
  <si>
    <t>Market capitalisation is not in the dataset: share-price data could not be obtained from a source whose terms allow redistribution. Enter your own in the web tool.</t>
  </si>
  <si>
    <t>The reconciliation to filing pages is a consistency check (137 figures), not an audit.</t>
  </si>
  <si>
    <t>Company</t>
  </si>
  <si>
    <t>Year</t>
  </si>
  <si>
    <t>Metric</t>
  </si>
  <si>
    <t>Value (millions, reporting currency)</t>
  </si>
  <si>
    <t>Currency</t>
  </si>
  <si>
    <t>Source tag</t>
  </si>
  <si>
    <t>SEC accession</t>
  </si>
  <si>
    <t>Filing date</t>
  </si>
  <si>
    <t>Filing index</t>
  </si>
  <si>
    <t>Novartis</t>
  </si>
  <si>
    <t>revenue</t>
  </si>
  <si>
    <t>USD</t>
  </si>
  <si>
    <t>RevenueFromSaleOfGoods + OtherRevenue</t>
  </si>
  <si>
    <t>0001114448-26-000004</t>
  </si>
  <si>
    <t>2026-02-04</t>
  </si>
  <si>
    <t>https://www.sec.gov/Archives/edgar/data/1114448/000111444826000004/</t>
  </si>
  <si>
    <t>operating_profit</t>
  </si>
  <si>
    <t>ProfitLossFromOperatingActivities</t>
  </si>
  <si>
    <t>pretax_profit</t>
  </si>
  <si>
    <t>ProfitLossBeforeTax</t>
  </si>
  <si>
    <t>income_tax</t>
  </si>
  <si>
    <t>IncomeTaxExpenseContinuingOperations</t>
  </si>
  <si>
    <t>profit_continuing</t>
  </si>
  <si>
    <t>ProfitLossFromContinuingOperations</t>
  </si>
  <si>
    <t>nci_profit</t>
  </si>
  <si>
    <t>ProfitLossAttributableToNoncontrollingInterests</t>
  </si>
  <si>
    <t>rnd</t>
  </si>
  <si>
    <t>ResearchAndDevelopmentExpense</t>
  </si>
  <si>
    <t>cfo</t>
  </si>
  <si>
    <t>CashFlowsFromUsedInOperatingActivitiesContinuingOperations</t>
  </si>
  <si>
    <t>capex_ppe</t>
  </si>
  <si>
    <t>PurchaseOfPropertyPlantAndEquipmentClassifiedAsInvestingActivities</t>
  </si>
  <si>
    <t>capex_intangibles</t>
  </si>
  <si>
    <t>PurchaseOfIntangibleAssetsClassifiedAsInvestingActivities</t>
  </si>
  <si>
    <t>cash</t>
  </si>
  <si>
    <t>CashAndCashEquivalents</t>
  </si>
  <si>
    <t>liquid_investments</t>
  </si>
  <si>
    <t>OtherCurrentFinancialAssets</t>
  </si>
  <si>
    <t>0001370368-25-000004</t>
  </si>
  <si>
    <t>2025-01-31</t>
  </si>
  <si>
    <t>https://www.sec.gov/Archives/edgar/data/1114448/000137036825000004/</t>
  </si>
  <si>
    <t>debt_financial</t>
  </si>
  <si>
    <t>OtherNoncurrentFinancialLiabilities + OtherCurrentFinancialLiabilities</t>
  </si>
  <si>
    <t>lease_liabilities</t>
  </si>
  <si>
    <t>LeaseLiabilities</t>
  </si>
  <si>
    <t>nci_book</t>
  </si>
  <si>
    <t>NoncontrollingInterests</t>
  </si>
  <si>
    <t>equity_total</t>
  </si>
  <si>
    <t>Equity</t>
  </si>
  <si>
    <t>shares_outstanding_m</t>
  </si>
  <si>
    <t>dei:EntityCommonStockSharesOutstanding</t>
  </si>
  <si>
    <t>0001370368-24-000004</t>
  </si>
  <si>
    <t>2024-01-31</t>
  </si>
  <si>
    <t>https://www.sec.gov/Archives/edgar/data/1114448/000137036824000004/</t>
  </si>
  <si>
    <t>AstraZeneca</t>
  </si>
  <si>
    <t>Revenue</t>
  </si>
  <si>
    <t>0001104659-26-019130</t>
  </si>
  <si>
    <t>2026-02-24</t>
  </si>
  <si>
    <t>https://www.sec.gov/Archives/edgar/data/901832/000110465926019130/</t>
  </si>
  <si>
    <t>ProfitLoss</t>
  </si>
  <si>
    <t>CashFlowsFromUsedInOperatingActivities</t>
  </si>
  <si>
    <t>0001104659-25-014750</t>
  </si>
  <si>
    <t>2025-02-18</t>
  </si>
  <si>
    <t>https://www.sec.gov/Archives/edgar/data/901832/000110465925014750/</t>
  </si>
  <si>
    <t>borrowings_incl_leases</t>
  </si>
  <si>
    <t>Borrowings</t>
  </si>
  <si>
    <t>depreciation_ppe</t>
  </si>
  <si>
    <t>DepreciationPropertyPlantAndEquipment</t>
  </si>
  <si>
    <t>depreciation_rou</t>
  </si>
  <si>
    <t>DepreciationRightofuseAssets</t>
  </si>
  <si>
    <t>amortisation_intangibles</t>
  </si>
  <si>
    <t>AmortisationIntangibleAssetsOtherThanGoodwill</t>
  </si>
  <si>
    <t>pension_liability</t>
  </si>
  <si>
    <t>NoncurrentRecognisedLiabilitiesDefinedBenefitPlan</t>
  </si>
  <si>
    <t>equity_method_investments</t>
  </si>
  <si>
    <t>InvestmentAccountedForUsingEquityMethod</t>
  </si>
  <si>
    <t>derived</t>
  </si>
  <si>
    <t>IssuedCapital / 0.25 nominal</t>
  </si>
  <si>
    <t>20-F cover page: ordinary shares outstanding</t>
  </si>
  <si>
    <t>shares_derived_check_m</t>
  </si>
  <si>
    <t>GSK</t>
  </si>
  <si>
    <t>GBP</t>
  </si>
  <si>
    <t>0001131399-25-000007</t>
  </si>
  <si>
    <t>2025-03-03</t>
  </si>
  <si>
    <t>https://www.sec.gov/Archives/edgar/data/1131399/000113139925000007/</t>
  </si>
  <si>
    <t>0001131399-26-000004</t>
  </si>
  <si>
    <t>2026-03-06</t>
  </si>
  <si>
    <t>https://www.sec.gov/Archives/edgar/data/1131399/000113139926000004/</t>
  </si>
  <si>
    <t>ShorttermBorrowings + LongtermBorrowings</t>
  </si>
  <si>
    <t>0001131399-24-000007</t>
  </si>
  <si>
    <t>2024-03-05</t>
  </si>
  <si>
    <t>https://www.sec.gov/Archives/edgar/data/1131399/000113139924000007/</t>
  </si>
  <si>
    <t>USD per EUR (average)</t>
  </si>
  <si>
    <t>USD per EUR (year-end)</t>
  </si>
  <si>
    <t>GBP per EUR (average)</t>
  </si>
  <si>
    <t>GBP per EUR (year-end)</t>
  </si>
  <si>
    <t>USD per GBP (average)</t>
  </si>
  <si>
    <t>USD per GBP (year-end)</t>
  </si>
  <si>
    <t>Source</t>
  </si>
  <si>
    <t>European Central Bank euro foreign exchange reference rates (data-api.ecb.europa.eu, dataset EXR)</t>
  </si>
  <si>
    <t>Operating profit</t>
  </si>
  <si>
    <t>Operating margin</t>
  </si>
  <si>
    <t>Profit (continuing)</t>
  </si>
  <si>
    <t>Profit margin</t>
  </si>
  <si>
    <t>R&amp;D</t>
  </si>
  <si>
    <t>R&amp;D % revenue</t>
  </si>
  <si>
    <t>Operating cash flow</t>
  </si>
  <si>
    <t>Purchases of PP&amp;E</t>
  </si>
  <si>
    <t>Purchases of intangibles</t>
  </si>
  <si>
    <t>FCF (CFO - PP&amp;E)</t>
  </si>
  <si>
    <t>FCF after intangibles</t>
  </si>
  <si>
    <t>Cash</t>
  </si>
  <si>
    <t>Debt incl. leases</t>
  </si>
  <si>
    <t>Net debt</t>
  </si>
  <si>
    <t>Revenue (USD m)</t>
  </si>
  <si>
    <t>FCF after intangibles (USD m)</t>
  </si>
  <si>
    <t>AstraZeneca DCF (USD millions, valuation date 31 Dec 2025)</t>
  </si>
  <si>
    <t>Blue cells are inputs. Everything else is a formula. Scenario assumptions are illustrative, not forecasts.</t>
  </si>
  <si>
    <t>Base year (fiscal)</t>
  </si>
  <si>
    <t>Base revenue</t>
  </si>
  <si>
    <t>Base operating margin</t>
  </si>
  <si>
    <t>Tax rate on operating profit</t>
  </si>
  <si>
    <t>D&amp;A, % of revenue</t>
  </si>
  <si>
    <t>Capex (PP&amp;E + intangibles), % of revenue</t>
  </si>
  <si>
    <t>Investment in working capital, % of revenue</t>
  </si>
  <si>
    <t>Operating margin in final forecast year</t>
  </si>
  <si>
    <t>WACC</t>
  </si>
  <si>
    <t>Terminal growth</t>
  </si>
  <si>
    <t>Forecast year (t)</t>
  </si>
  <si>
    <t>Fiscal year</t>
  </si>
  <si>
    <t>Revenue growth</t>
  </si>
  <si>
    <t>Operating profit (EBIT)</t>
  </si>
  <si>
    <t>NOPAT (EBIT x (1 - tax))</t>
  </si>
  <si>
    <t>Plus: D&amp;A</t>
  </si>
  <si>
    <t>Less: capex (PP&amp;E + intangibles)</t>
  </si>
  <si>
    <t>Less: investment in working capital</t>
  </si>
  <si>
    <t>Free cash flow to the firm</t>
  </si>
  <si>
    <t>Discount factor</t>
  </si>
  <si>
    <t>Present value of FCFF</t>
  </si>
  <si>
    <t>Sum of present values of FCFF</t>
  </si>
  <si>
    <t>Terminal value at end of year 5 (Gordon growth)</t>
  </si>
  <si>
    <t>Present value of terminal value</t>
  </si>
  <si>
    <t>Enterprise value</t>
  </si>
  <si>
    <t>Terminal value as share of enterprise value</t>
  </si>
  <si>
    <t>Enterprise-to-equity bridge (31 Dec 2025 balance sheet)</t>
  </si>
  <si>
    <t>Debt including lease liabilities</t>
  </si>
  <si>
    <t>Cash and cash equivalents</t>
  </si>
  <si>
    <t>Equity-accounted investments (book value)</t>
  </si>
  <si>
    <t>Pension deficit (retirement benefit obligations, pre-tax)</t>
  </si>
  <si>
    <t>Non-controlling interests (book value)</t>
  </si>
  <si>
    <t>Equity value</t>
  </si>
  <si>
    <t>Ordinary shares outstanding (millions)</t>
  </si>
  <si>
    <t>Value per ordinary share (USD)</t>
  </si>
  <si>
    <t>Not included in the bridge: contingent consideration, litigation and other provisions, deferred tax, other investments, dividends declared. The bridge is partial.</t>
  </si>
  <si>
    <t>Value per ordinary share (USD) across WACC (rows) and terminal growth (columns). Same FCFF as the DCF sheet.</t>
  </si>
  <si>
    <t>WACC \ g</t>
  </si>
  <si>
    <t>Check</t>
  </si>
  <si>
    <t>Result</t>
  </si>
  <si>
    <t>Detail</t>
  </si>
  <si>
    <t>Bridge identity: equity = EV - debt + cash + investments - pension - NCI</t>
  </si>
  <si>
    <t>DCF!B42</t>
  </si>
  <si>
    <t>WACC exceeds terminal growth</t>
  </si>
  <si>
    <t>DCF!B12 vs DCF!B13</t>
  </si>
  <si>
    <t>Discount factors fall each year</t>
  </si>
  <si>
    <t>DCF!B27:F27</t>
  </si>
  <si>
    <t>Terminal value share of EV is between 0 and 100%</t>
  </si>
  <si>
    <t>DCF!B34</t>
  </si>
  <si>
    <t>Sensitivity centre (7.5% WACC, 2.0% growth) equals DCF value per share</t>
  </si>
  <si>
    <t>Sensitivity!D8</t>
  </si>
  <si>
    <t>Value per share matches the web model's reference value for the same inputs (within 0.01%)</t>
  </si>
  <si>
    <t>reference 132.4078 from tests/pharma</t>
  </si>
  <si>
    <t>Enterprise value matches the web model's reference value (within 0.01%)</t>
  </si>
  <si>
    <t>reference 230118.34</t>
  </si>
  <si>
    <t>Novartis 2025 net debt incl. leases less reported net debt (21,947) equals lease liabilities</t>
  </si>
  <si>
    <t>Comparables row 4 (Novartis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</si>
</sst>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
    <numFmt numFmtId="167" formatCode="0.0"/>
  </numFmts>
  <fonts count="3" x14ac:knownFonts="1">
    <font>
      <sz val="11"/>
      <color theme="1"/>
      <name val="Calibri"/>
      <family val="2"/>
      <scheme val="minor"/>
    </font>
    <font>
      <b/>
      <sz val="11"/>
      <name val="Calibri"/>
    </font>
    <font>
      <sz val="11"/>
      <color rgb="FF0000FF"/>
      <name val="Calibri"/>
    </font>
  </fonts>
  <fills count="4">
    <fill>
      <patternFill patternType="none"/>
    </fill>
    <fill>
      <patternFill patternType="gray125"/>
    </fill>
    <fill>
      <patternFill patternType="solid">
        <fgColor rgb="FFE1EEE6"/>
      </patternFill>
    </fill>
    <fill>
      <patternFill patternType="solid">
        <fgColor rgb="FFFFF8DC"/>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xf numFmtId="3" fontId="0" fillId="0" borderId="0" xfId="0" applyNumberFormat="1"/>
    <xf numFmtId="164" fontId="0" fillId="0" borderId="0" xfId="0" applyNumberFormat="1"/>
    <xf numFmtId="0" fontId="1" fillId="0" borderId="0" xfId="0" applyFont="1"/>
    <xf numFmtId="0" fontId="2" fillId="3" borderId="0" xfId="0" applyFont="1" applyFill="1"/>
    <xf numFmtId="164" fontId="2" fillId="3" borderId="0" xfId="0" applyNumberFormat="1" applyFont="1" applyFill="1"/>
    <xf numFmtId="165" fontId="0" fillId="0" borderId="0" xfId="0" applyNumberFormat="1"/>
    <xf numFmtId="166" fontId="0" fillId="0" borderId="0" xfId="0" applyNumberFormat="1"/>
    <xf numFmtId="164" fontId="1" fillId="0" borderId="0" xfId="0" applyNumberFormat="1" applyFont="1"/>
    <xf numFmtId="16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abSelected="1" workbookViewId="0"/>
  </sheetViews>
  <sheetFormatPr defaultRowHeight="15" x14ac:dyDescent="0.25"/>
  <cols>
    <col min="1" max="1" width="130" customWidth="1"/>
  </cols>
  <sheetData>
    <row r="1" spans="1:1" x14ac:dyDescent="0.25">
      <c r="A1" s="1" t="s">
        <v>0</v>
      </c>
    </row>
    <row r="2" spans="1:1" x14ac:dyDescent="0.25">
      <c r="A2" s="2" t="s">
        <v>1</v>
      </c>
    </row>
    <row r="3" spans="1:1" x14ac:dyDescent="0.25">
      <c r="A3" s="2"/>
    </row>
    <row r="4" spans="1:1" x14ac:dyDescent="0.25">
      <c r="A4" s="1" t="s">
        <v>2</v>
      </c>
    </row>
    <row r="5" spans="1:1" ht="30" x14ac:dyDescent="0.25">
      <c r="A5" s="2" t="s">
        <v>3</v>
      </c>
    </row>
    <row r="6" spans="1:1" x14ac:dyDescent="0.25">
      <c r="A6" s="2"/>
    </row>
    <row r="7" spans="1:1" x14ac:dyDescent="0.25">
      <c r="A7" s="1" t="s">
        <v>4</v>
      </c>
    </row>
    <row r="8" spans="1:1" ht="30" x14ac:dyDescent="0.25">
      <c r="A8" s="2" t="s">
        <v>5</v>
      </c>
    </row>
    <row r="9" spans="1:1" x14ac:dyDescent="0.25">
      <c r="A9" s="2"/>
    </row>
    <row r="10" spans="1:1" x14ac:dyDescent="0.25">
      <c r="A10" s="1" t="s">
        <v>6</v>
      </c>
    </row>
    <row r="11" spans="1:1" ht="30" x14ac:dyDescent="0.25">
      <c r="A11" s="2" t="s">
        <v>7</v>
      </c>
    </row>
    <row r="12" spans="1:1" ht="30" x14ac:dyDescent="0.25">
      <c r="A12" s="2" t="s">
        <v>8</v>
      </c>
    </row>
    <row r="13" spans="1:1" x14ac:dyDescent="0.25">
      <c r="A13" s="2" t="s">
        <v>9</v>
      </c>
    </row>
    <row r="14" spans="1:1" x14ac:dyDescent="0.25">
      <c r="A14" s="2"/>
    </row>
    <row r="15" spans="1:1" x14ac:dyDescent="0.25">
      <c r="A15" s="1" t="s">
        <v>10</v>
      </c>
    </row>
    <row r="16" spans="1:1" ht="30" x14ac:dyDescent="0.25">
      <c r="A16" s="2" t="s">
        <v>11</v>
      </c>
    </row>
    <row r="17" spans="1:1" ht="30" x14ac:dyDescent="0.25">
      <c r="A17" s="2" t="s">
        <v>12</v>
      </c>
    </row>
    <row r="18" spans="1:1" x14ac:dyDescent="0.25">
      <c r="A18" s="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4"/>
  <sheetViews>
    <sheetView workbookViewId="0">
      <pane ySplit="1" topLeftCell="A2" activePane="bottomLeft" state="frozen"/>
      <selection pane="bottomLeft"/>
    </sheetView>
  </sheetViews>
  <sheetFormatPr defaultRowHeight="15" x14ac:dyDescent="0.25"/>
  <cols>
    <col min="1" max="1" width="14" customWidth="1"/>
    <col min="2" max="2" width="7" customWidth="1"/>
    <col min="3" max="3" width="28" customWidth="1"/>
    <col min="4" max="4" width="22" customWidth="1"/>
    <col min="5" max="5" width="10" customWidth="1"/>
    <col min="6" max="6" width="62" customWidth="1"/>
    <col min="7" max="7" width="28" customWidth="1"/>
    <col min="8" max="8" width="12" customWidth="1"/>
    <col min="9" max="9" width="70" customWidth="1"/>
  </cols>
  <sheetData>
    <row r="1" spans="1:9" x14ac:dyDescent="0.25">
      <c r="A1" s="3" t="s">
        <v>14</v>
      </c>
      <c r="B1" s="3" t="s">
        <v>15</v>
      </c>
      <c r="C1" s="3" t="s">
        <v>16</v>
      </c>
      <c r="D1" s="3" t="s">
        <v>17</v>
      </c>
      <c r="E1" s="3" t="s">
        <v>18</v>
      </c>
      <c r="F1" s="3" t="s">
        <v>19</v>
      </c>
      <c r="G1" s="3" t="s">
        <v>20</v>
      </c>
      <c r="H1" s="3" t="s">
        <v>21</v>
      </c>
      <c r="I1" s="3" t="s">
        <v>22</v>
      </c>
    </row>
    <row r="2" spans="1:9" x14ac:dyDescent="0.25">
      <c r="A2" t="s">
        <v>23</v>
      </c>
      <c r="B2">
        <v>2023</v>
      </c>
      <c r="C2" t="s">
        <v>24</v>
      </c>
      <c r="D2">
        <v>46660</v>
      </c>
      <c r="E2" t="s">
        <v>25</v>
      </c>
      <c r="F2" t="s">
        <v>26</v>
      </c>
      <c r="G2" t="s">
        <v>27</v>
      </c>
      <c r="H2" t="s">
        <v>28</v>
      </c>
      <c r="I2" t="s">
        <v>29</v>
      </c>
    </row>
    <row r="3" spans="1:9" x14ac:dyDescent="0.25">
      <c r="A3" t="s">
        <v>23</v>
      </c>
      <c r="B3">
        <v>2023</v>
      </c>
      <c r="C3" t="s">
        <v>30</v>
      </c>
      <c r="D3">
        <v>9769</v>
      </c>
      <c r="E3" t="s">
        <v>25</v>
      </c>
      <c r="F3" t="s">
        <v>31</v>
      </c>
      <c r="G3" t="s">
        <v>27</v>
      </c>
      <c r="H3" t="s">
        <v>28</v>
      </c>
      <c r="I3" t="s">
        <v>29</v>
      </c>
    </row>
    <row r="4" spans="1:9" x14ac:dyDescent="0.25">
      <c r="A4" t="s">
        <v>23</v>
      </c>
      <c r="B4">
        <v>2023</v>
      </c>
      <c r="C4" t="s">
        <v>32</v>
      </c>
      <c r="D4">
        <v>9123</v>
      </c>
      <c r="E4" t="s">
        <v>25</v>
      </c>
      <c r="F4" t="s">
        <v>33</v>
      </c>
      <c r="G4" t="s">
        <v>27</v>
      </c>
      <c r="H4" t="s">
        <v>28</v>
      </c>
      <c r="I4" t="s">
        <v>29</v>
      </c>
    </row>
    <row r="5" spans="1:9" x14ac:dyDescent="0.25">
      <c r="A5" t="s">
        <v>23</v>
      </c>
      <c r="B5">
        <v>2023</v>
      </c>
      <c r="C5" t="s">
        <v>34</v>
      </c>
      <c r="D5">
        <v>551</v>
      </c>
      <c r="E5" t="s">
        <v>25</v>
      </c>
      <c r="F5" t="s">
        <v>35</v>
      </c>
      <c r="G5" t="s">
        <v>27</v>
      </c>
      <c r="H5" t="s">
        <v>28</v>
      </c>
      <c r="I5" t="s">
        <v>29</v>
      </c>
    </row>
    <row r="6" spans="1:9" x14ac:dyDescent="0.25">
      <c r="A6" t="s">
        <v>23</v>
      </c>
      <c r="B6">
        <v>2023</v>
      </c>
      <c r="C6" t="s">
        <v>36</v>
      </c>
      <c r="D6">
        <v>8572</v>
      </c>
      <c r="E6" t="s">
        <v>25</v>
      </c>
      <c r="F6" t="s">
        <v>37</v>
      </c>
      <c r="G6" t="s">
        <v>27</v>
      </c>
      <c r="H6" t="s">
        <v>28</v>
      </c>
      <c r="I6" t="s">
        <v>29</v>
      </c>
    </row>
    <row r="7" spans="1:9" x14ac:dyDescent="0.25">
      <c r="A7" t="s">
        <v>23</v>
      </c>
      <c r="B7">
        <v>2023</v>
      </c>
      <c r="C7" t="s">
        <v>38</v>
      </c>
      <c r="D7">
        <v>4</v>
      </c>
      <c r="E7" t="s">
        <v>25</v>
      </c>
      <c r="F7" t="s">
        <v>39</v>
      </c>
      <c r="G7" t="s">
        <v>27</v>
      </c>
      <c r="H7" t="s">
        <v>28</v>
      </c>
      <c r="I7" t="s">
        <v>29</v>
      </c>
    </row>
    <row r="8" spans="1:9" x14ac:dyDescent="0.25">
      <c r="A8" t="s">
        <v>23</v>
      </c>
      <c r="B8">
        <v>2023</v>
      </c>
      <c r="C8" t="s">
        <v>40</v>
      </c>
      <c r="D8">
        <v>11371</v>
      </c>
      <c r="E8" t="s">
        <v>25</v>
      </c>
      <c r="F8" t="s">
        <v>41</v>
      </c>
      <c r="G8" t="s">
        <v>27</v>
      </c>
      <c r="H8" t="s">
        <v>28</v>
      </c>
      <c r="I8" t="s">
        <v>29</v>
      </c>
    </row>
    <row r="9" spans="1:9" x14ac:dyDescent="0.25">
      <c r="A9" t="s">
        <v>23</v>
      </c>
      <c r="B9">
        <v>2023</v>
      </c>
      <c r="C9" t="s">
        <v>42</v>
      </c>
      <c r="D9">
        <v>14220</v>
      </c>
      <c r="E9" t="s">
        <v>25</v>
      </c>
      <c r="F9" t="s">
        <v>43</v>
      </c>
      <c r="G9" t="s">
        <v>27</v>
      </c>
      <c r="H9" t="s">
        <v>28</v>
      </c>
      <c r="I9" t="s">
        <v>29</v>
      </c>
    </row>
    <row r="10" spans="1:9" x14ac:dyDescent="0.25">
      <c r="A10" t="s">
        <v>23</v>
      </c>
      <c r="B10">
        <v>2023</v>
      </c>
      <c r="C10" t="s">
        <v>44</v>
      </c>
      <c r="D10">
        <v>1060</v>
      </c>
      <c r="E10" t="s">
        <v>25</v>
      </c>
      <c r="F10" t="s">
        <v>45</v>
      </c>
      <c r="G10" t="s">
        <v>27</v>
      </c>
      <c r="H10" t="s">
        <v>28</v>
      </c>
      <c r="I10" t="s">
        <v>29</v>
      </c>
    </row>
    <row r="11" spans="1:9" x14ac:dyDescent="0.25">
      <c r="A11" t="s">
        <v>23</v>
      </c>
      <c r="B11">
        <v>2023</v>
      </c>
      <c r="C11" t="s">
        <v>46</v>
      </c>
      <c r="D11">
        <v>1693</v>
      </c>
      <c r="E11" t="s">
        <v>25</v>
      </c>
      <c r="F11" t="s">
        <v>47</v>
      </c>
      <c r="G11" t="s">
        <v>27</v>
      </c>
      <c r="H11" t="s">
        <v>28</v>
      </c>
      <c r="I11" t="s">
        <v>29</v>
      </c>
    </row>
    <row r="12" spans="1:9" x14ac:dyDescent="0.25">
      <c r="A12" t="s">
        <v>23</v>
      </c>
      <c r="B12">
        <v>2023</v>
      </c>
      <c r="C12" t="s">
        <v>48</v>
      </c>
      <c r="D12">
        <v>13393</v>
      </c>
      <c r="E12" t="s">
        <v>25</v>
      </c>
      <c r="F12" t="s">
        <v>49</v>
      </c>
      <c r="G12" t="s">
        <v>27</v>
      </c>
      <c r="H12" t="s">
        <v>28</v>
      </c>
      <c r="I12" t="s">
        <v>29</v>
      </c>
    </row>
    <row r="13" spans="1:9" x14ac:dyDescent="0.25">
      <c r="A13" t="s">
        <v>23</v>
      </c>
      <c r="B13">
        <v>2023</v>
      </c>
      <c r="C13" t="s">
        <v>50</v>
      </c>
      <c r="D13">
        <v>1035</v>
      </c>
      <c r="E13" t="s">
        <v>25</v>
      </c>
      <c r="F13" t="s">
        <v>51</v>
      </c>
      <c r="G13" t="s">
        <v>52</v>
      </c>
      <c r="H13" t="s">
        <v>53</v>
      </c>
      <c r="I13" t="s">
        <v>54</v>
      </c>
    </row>
    <row r="14" spans="1:9" x14ac:dyDescent="0.25">
      <c r="A14" t="s">
        <v>23</v>
      </c>
      <c r="B14">
        <v>2023</v>
      </c>
      <c r="C14" t="s">
        <v>55</v>
      </c>
      <c r="D14">
        <v>24611</v>
      </c>
      <c r="E14" t="s">
        <v>25</v>
      </c>
      <c r="F14" t="s">
        <v>56</v>
      </c>
      <c r="G14" t="s">
        <v>52</v>
      </c>
      <c r="H14" t="s">
        <v>53</v>
      </c>
      <c r="I14" t="s">
        <v>54</v>
      </c>
    </row>
    <row r="15" spans="1:9" x14ac:dyDescent="0.25">
      <c r="A15" t="s">
        <v>23</v>
      </c>
      <c r="B15">
        <v>2023</v>
      </c>
      <c r="C15" t="s">
        <v>57</v>
      </c>
      <c r="D15">
        <v>1828</v>
      </c>
      <c r="E15" t="s">
        <v>25</v>
      </c>
      <c r="F15" t="s">
        <v>58</v>
      </c>
      <c r="G15" t="s">
        <v>52</v>
      </c>
      <c r="H15" t="s">
        <v>53</v>
      </c>
      <c r="I15" t="s">
        <v>54</v>
      </c>
    </row>
    <row r="16" spans="1:9" x14ac:dyDescent="0.25">
      <c r="A16" t="s">
        <v>23</v>
      </c>
      <c r="B16">
        <v>2023</v>
      </c>
      <c r="C16" t="s">
        <v>59</v>
      </c>
      <c r="D16">
        <v>83</v>
      </c>
      <c r="E16" t="s">
        <v>25</v>
      </c>
      <c r="F16" t="s">
        <v>60</v>
      </c>
      <c r="G16" t="s">
        <v>52</v>
      </c>
      <c r="H16" t="s">
        <v>53</v>
      </c>
      <c r="I16" t="s">
        <v>54</v>
      </c>
    </row>
    <row r="17" spans="1:9" x14ac:dyDescent="0.25">
      <c r="A17" t="s">
        <v>23</v>
      </c>
      <c r="B17">
        <v>2023</v>
      </c>
      <c r="C17" t="s">
        <v>61</v>
      </c>
      <c r="D17">
        <v>46750</v>
      </c>
      <c r="E17" t="s">
        <v>25</v>
      </c>
      <c r="F17" t="s">
        <v>62</v>
      </c>
      <c r="G17" t="s">
        <v>27</v>
      </c>
      <c r="H17" t="s">
        <v>28</v>
      </c>
      <c r="I17" t="s">
        <v>29</v>
      </c>
    </row>
    <row r="18" spans="1:9" x14ac:dyDescent="0.25">
      <c r="A18" t="s">
        <v>23</v>
      </c>
      <c r="B18">
        <v>2023</v>
      </c>
      <c r="C18" t="s">
        <v>63</v>
      </c>
      <c r="D18">
        <v>2044.0339859999999</v>
      </c>
      <c r="E18" t="s">
        <v>25</v>
      </c>
      <c r="F18" t="s">
        <v>64</v>
      </c>
      <c r="G18" t="s">
        <v>65</v>
      </c>
      <c r="H18" t="s">
        <v>66</v>
      </c>
      <c r="I18" t="s">
        <v>67</v>
      </c>
    </row>
    <row r="19" spans="1:9" x14ac:dyDescent="0.25">
      <c r="A19" t="s">
        <v>23</v>
      </c>
      <c r="B19">
        <v>2024</v>
      </c>
      <c r="C19" t="s">
        <v>24</v>
      </c>
      <c r="D19">
        <v>51722</v>
      </c>
      <c r="E19" t="s">
        <v>25</v>
      </c>
      <c r="F19" t="s">
        <v>26</v>
      </c>
      <c r="G19" t="s">
        <v>27</v>
      </c>
      <c r="H19" t="s">
        <v>28</v>
      </c>
      <c r="I19" t="s">
        <v>29</v>
      </c>
    </row>
    <row r="20" spans="1:9" x14ac:dyDescent="0.25">
      <c r="A20" t="s">
        <v>23</v>
      </c>
      <c r="B20">
        <v>2024</v>
      </c>
      <c r="C20" t="s">
        <v>30</v>
      </c>
      <c r="D20">
        <v>14544</v>
      </c>
      <c r="E20" t="s">
        <v>25</v>
      </c>
      <c r="F20" t="s">
        <v>31</v>
      </c>
      <c r="G20" t="s">
        <v>27</v>
      </c>
      <c r="H20" t="s">
        <v>28</v>
      </c>
      <c r="I20" t="s">
        <v>29</v>
      </c>
    </row>
    <row r="21" spans="1:9" x14ac:dyDescent="0.25">
      <c r="A21" t="s">
        <v>23</v>
      </c>
      <c r="B21">
        <v>2024</v>
      </c>
      <c r="C21" t="s">
        <v>32</v>
      </c>
      <c r="D21">
        <v>13640</v>
      </c>
      <c r="E21" t="s">
        <v>25</v>
      </c>
      <c r="F21" t="s">
        <v>33</v>
      </c>
      <c r="G21" t="s">
        <v>27</v>
      </c>
      <c r="H21" t="s">
        <v>28</v>
      </c>
      <c r="I21" t="s">
        <v>29</v>
      </c>
    </row>
    <row r="22" spans="1:9" x14ac:dyDescent="0.25">
      <c r="A22" t="s">
        <v>23</v>
      </c>
      <c r="B22">
        <v>2024</v>
      </c>
      <c r="C22" t="s">
        <v>34</v>
      </c>
      <c r="D22">
        <v>1701</v>
      </c>
      <c r="E22" t="s">
        <v>25</v>
      </c>
      <c r="F22" t="s">
        <v>35</v>
      </c>
      <c r="G22" t="s">
        <v>27</v>
      </c>
      <c r="H22" t="s">
        <v>28</v>
      </c>
      <c r="I22" t="s">
        <v>29</v>
      </c>
    </row>
    <row r="23" spans="1:9" x14ac:dyDescent="0.25">
      <c r="A23" t="s">
        <v>23</v>
      </c>
      <c r="B23">
        <v>2024</v>
      </c>
      <c r="C23" t="s">
        <v>36</v>
      </c>
      <c r="D23">
        <v>11939</v>
      </c>
      <c r="E23" t="s">
        <v>25</v>
      </c>
      <c r="F23" t="s">
        <v>37</v>
      </c>
      <c r="G23" t="s">
        <v>27</v>
      </c>
      <c r="H23" t="s">
        <v>28</v>
      </c>
      <c r="I23" t="s">
        <v>29</v>
      </c>
    </row>
    <row r="24" spans="1:9" x14ac:dyDescent="0.25">
      <c r="A24" t="s">
        <v>23</v>
      </c>
      <c r="B24">
        <v>2024</v>
      </c>
      <c r="C24" t="s">
        <v>38</v>
      </c>
      <c r="D24">
        <v>-2</v>
      </c>
      <c r="E24" t="s">
        <v>25</v>
      </c>
      <c r="F24" t="s">
        <v>39</v>
      </c>
      <c r="G24" t="s">
        <v>27</v>
      </c>
      <c r="H24" t="s">
        <v>28</v>
      </c>
      <c r="I24" t="s">
        <v>29</v>
      </c>
    </row>
    <row r="25" spans="1:9" x14ac:dyDescent="0.25">
      <c r="A25" t="s">
        <v>23</v>
      </c>
      <c r="B25">
        <v>2024</v>
      </c>
      <c r="C25" t="s">
        <v>40</v>
      </c>
      <c r="D25">
        <v>10022</v>
      </c>
      <c r="E25" t="s">
        <v>25</v>
      </c>
      <c r="F25" t="s">
        <v>41</v>
      </c>
      <c r="G25" t="s">
        <v>27</v>
      </c>
      <c r="H25" t="s">
        <v>28</v>
      </c>
      <c r="I25" t="s">
        <v>29</v>
      </c>
    </row>
    <row r="26" spans="1:9" x14ac:dyDescent="0.25">
      <c r="A26" t="s">
        <v>23</v>
      </c>
      <c r="B26">
        <v>2024</v>
      </c>
      <c r="C26" t="s">
        <v>42</v>
      </c>
      <c r="D26">
        <v>17619</v>
      </c>
      <c r="E26" t="s">
        <v>25</v>
      </c>
      <c r="F26" t="s">
        <v>43</v>
      </c>
      <c r="G26" t="s">
        <v>27</v>
      </c>
      <c r="H26" t="s">
        <v>28</v>
      </c>
      <c r="I26" t="s">
        <v>29</v>
      </c>
    </row>
    <row r="27" spans="1:9" x14ac:dyDescent="0.25">
      <c r="A27" t="s">
        <v>23</v>
      </c>
      <c r="B27">
        <v>2024</v>
      </c>
      <c r="C27" t="s">
        <v>44</v>
      </c>
      <c r="D27">
        <v>1366</v>
      </c>
      <c r="E27" t="s">
        <v>25</v>
      </c>
      <c r="F27" t="s">
        <v>45</v>
      </c>
      <c r="G27" t="s">
        <v>27</v>
      </c>
      <c r="H27" t="s">
        <v>28</v>
      </c>
      <c r="I27" t="s">
        <v>29</v>
      </c>
    </row>
    <row r="28" spans="1:9" x14ac:dyDescent="0.25">
      <c r="A28" t="s">
        <v>23</v>
      </c>
      <c r="B28">
        <v>2024</v>
      </c>
      <c r="C28" t="s">
        <v>46</v>
      </c>
      <c r="D28">
        <v>2448</v>
      </c>
      <c r="E28" t="s">
        <v>25</v>
      </c>
      <c r="F28" t="s">
        <v>47</v>
      </c>
      <c r="G28" t="s">
        <v>27</v>
      </c>
      <c r="H28" t="s">
        <v>28</v>
      </c>
      <c r="I28" t="s">
        <v>29</v>
      </c>
    </row>
    <row r="29" spans="1:9" x14ac:dyDescent="0.25">
      <c r="A29" t="s">
        <v>23</v>
      </c>
      <c r="B29">
        <v>2024</v>
      </c>
      <c r="C29" t="s">
        <v>48</v>
      </c>
      <c r="D29">
        <v>11459</v>
      </c>
      <c r="E29" t="s">
        <v>25</v>
      </c>
      <c r="F29" t="s">
        <v>49</v>
      </c>
      <c r="G29" t="s">
        <v>27</v>
      </c>
      <c r="H29" t="s">
        <v>28</v>
      </c>
      <c r="I29" t="s">
        <v>29</v>
      </c>
    </row>
    <row r="30" spans="1:9" x14ac:dyDescent="0.25">
      <c r="A30" t="s">
        <v>23</v>
      </c>
      <c r="B30">
        <v>2024</v>
      </c>
      <c r="C30" t="s">
        <v>50</v>
      </c>
      <c r="D30">
        <v>1998</v>
      </c>
      <c r="E30" t="s">
        <v>25</v>
      </c>
      <c r="F30" t="s">
        <v>51</v>
      </c>
      <c r="G30" t="s">
        <v>27</v>
      </c>
      <c r="H30" t="s">
        <v>28</v>
      </c>
      <c r="I30" t="s">
        <v>29</v>
      </c>
    </row>
    <row r="31" spans="1:9" x14ac:dyDescent="0.25">
      <c r="A31" t="s">
        <v>23</v>
      </c>
      <c r="B31">
        <v>2024</v>
      </c>
      <c r="C31" t="s">
        <v>55</v>
      </c>
      <c r="D31">
        <v>29598</v>
      </c>
      <c r="E31" t="s">
        <v>25</v>
      </c>
      <c r="F31" t="s">
        <v>56</v>
      </c>
      <c r="G31" t="s">
        <v>27</v>
      </c>
      <c r="H31" t="s">
        <v>28</v>
      </c>
      <c r="I31" t="s">
        <v>29</v>
      </c>
    </row>
    <row r="32" spans="1:9" x14ac:dyDescent="0.25">
      <c r="A32" t="s">
        <v>23</v>
      </c>
      <c r="B32">
        <v>2024</v>
      </c>
      <c r="C32" t="s">
        <v>57</v>
      </c>
      <c r="D32">
        <v>1803</v>
      </c>
      <c r="E32" t="s">
        <v>25</v>
      </c>
      <c r="F32" t="s">
        <v>58</v>
      </c>
      <c r="G32" t="s">
        <v>27</v>
      </c>
      <c r="H32" t="s">
        <v>28</v>
      </c>
      <c r="I32" t="s">
        <v>29</v>
      </c>
    </row>
    <row r="33" spans="1:9" x14ac:dyDescent="0.25">
      <c r="A33" t="s">
        <v>23</v>
      </c>
      <c r="B33">
        <v>2024</v>
      </c>
      <c r="C33" t="s">
        <v>59</v>
      </c>
      <c r="D33">
        <v>80</v>
      </c>
      <c r="E33" t="s">
        <v>25</v>
      </c>
      <c r="F33" t="s">
        <v>60</v>
      </c>
      <c r="G33" t="s">
        <v>27</v>
      </c>
      <c r="H33" t="s">
        <v>28</v>
      </c>
      <c r="I33" t="s">
        <v>29</v>
      </c>
    </row>
    <row r="34" spans="1:9" x14ac:dyDescent="0.25">
      <c r="A34" t="s">
        <v>23</v>
      </c>
      <c r="B34">
        <v>2024</v>
      </c>
      <c r="C34" t="s">
        <v>61</v>
      </c>
      <c r="D34">
        <v>44126</v>
      </c>
      <c r="E34" t="s">
        <v>25</v>
      </c>
      <c r="F34" t="s">
        <v>62</v>
      </c>
      <c r="G34" t="s">
        <v>27</v>
      </c>
      <c r="H34" t="s">
        <v>28</v>
      </c>
      <c r="I34" t="s">
        <v>29</v>
      </c>
    </row>
    <row r="35" spans="1:9" x14ac:dyDescent="0.25">
      <c r="A35" t="s">
        <v>23</v>
      </c>
      <c r="B35">
        <v>2024</v>
      </c>
      <c r="C35" t="s">
        <v>63</v>
      </c>
      <c r="D35">
        <v>1975.089248</v>
      </c>
      <c r="E35" t="s">
        <v>25</v>
      </c>
      <c r="F35" t="s">
        <v>64</v>
      </c>
      <c r="G35" t="s">
        <v>52</v>
      </c>
      <c r="H35" t="s">
        <v>53</v>
      </c>
      <c r="I35" t="s">
        <v>54</v>
      </c>
    </row>
    <row r="36" spans="1:9" x14ac:dyDescent="0.25">
      <c r="A36" t="s">
        <v>23</v>
      </c>
      <c r="B36">
        <v>2025</v>
      </c>
      <c r="C36" t="s">
        <v>24</v>
      </c>
      <c r="D36">
        <v>56674</v>
      </c>
      <c r="E36" t="s">
        <v>25</v>
      </c>
      <c r="F36" t="s">
        <v>26</v>
      </c>
      <c r="G36" t="s">
        <v>27</v>
      </c>
      <c r="H36" t="s">
        <v>28</v>
      </c>
      <c r="I36" t="s">
        <v>29</v>
      </c>
    </row>
    <row r="37" spans="1:9" x14ac:dyDescent="0.25">
      <c r="A37" t="s">
        <v>23</v>
      </c>
      <c r="B37">
        <v>2025</v>
      </c>
      <c r="C37" t="s">
        <v>30</v>
      </c>
      <c r="D37">
        <v>17644</v>
      </c>
      <c r="E37" t="s">
        <v>25</v>
      </c>
      <c r="F37" t="s">
        <v>31</v>
      </c>
      <c r="G37" t="s">
        <v>27</v>
      </c>
      <c r="H37" t="s">
        <v>28</v>
      </c>
      <c r="I37" t="s">
        <v>29</v>
      </c>
    </row>
    <row r="38" spans="1:9" x14ac:dyDescent="0.25">
      <c r="A38" t="s">
        <v>23</v>
      </c>
      <c r="B38">
        <v>2025</v>
      </c>
      <c r="C38" t="s">
        <v>32</v>
      </c>
      <c r="D38">
        <v>16352</v>
      </c>
      <c r="E38" t="s">
        <v>25</v>
      </c>
      <c r="F38" t="s">
        <v>33</v>
      </c>
      <c r="G38" t="s">
        <v>27</v>
      </c>
      <c r="H38" t="s">
        <v>28</v>
      </c>
      <c r="I38" t="s">
        <v>29</v>
      </c>
    </row>
    <row r="39" spans="1:9" x14ac:dyDescent="0.25">
      <c r="A39" t="s">
        <v>23</v>
      </c>
      <c r="B39">
        <v>2025</v>
      </c>
      <c r="C39" t="s">
        <v>34</v>
      </c>
      <c r="D39">
        <v>2385</v>
      </c>
      <c r="E39" t="s">
        <v>25</v>
      </c>
      <c r="F39" t="s">
        <v>35</v>
      </c>
      <c r="G39" t="s">
        <v>27</v>
      </c>
      <c r="H39" t="s">
        <v>28</v>
      </c>
      <c r="I39" t="s">
        <v>29</v>
      </c>
    </row>
    <row r="40" spans="1:9" x14ac:dyDescent="0.25">
      <c r="A40" t="s">
        <v>23</v>
      </c>
      <c r="B40">
        <v>2025</v>
      </c>
      <c r="C40" t="s">
        <v>36</v>
      </c>
      <c r="D40">
        <v>13967</v>
      </c>
      <c r="E40" t="s">
        <v>25</v>
      </c>
      <c r="F40" t="s">
        <v>37</v>
      </c>
      <c r="G40" t="s">
        <v>27</v>
      </c>
      <c r="H40" t="s">
        <v>28</v>
      </c>
      <c r="I40" t="s">
        <v>29</v>
      </c>
    </row>
    <row r="41" spans="1:9" x14ac:dyDescent="0.25">
      <c r="A41" t="s">
        <v>23</v>
      </c>
      <c r="B41">
        <v>2025</v>
      </c>
      <c r="C41" t="s">
        <v>38</v>
      </c>
      <c r="D41">
        <v>-17</v>
      </c>
      <c r="E41" t="s">
        <v>25</v>
      </c>
      <c r="F41" t="s">
        <v>39</v>
      </c>
      <c r="G41" t="s">
        <v>27</v>
      </c>
      <c r="H41" t="s">
        <v>28</v>
      </c>
      <c r="I41" t="s">
        <v>29</v>
      </c>
    </row>
    <row r="42" spans="1:9" x14ac:dyDescent="0.25">
      <c r="A42" t="s">
        <v>23</v>
      </c>
      <c r="B42">
        <v>2025</v>
      </c>
      <c r="C42" t="s">
        <v>40</v>
      </c>
      <c r="D42">
        <v>11200</v>
      </c>
      <c r="E42" t="s">
        <v>25</v>
      </c>
      <c r="F42" t="s">
        <v>41</v>
      </c>
      <c r="G42" t="s">
        <v>27</v>
      </c>
      <c r="H42" t="s">
        <v>28</v>
      </c>
      <c r="I42" t="s">
        <v>29</v>
      </c>
    </row>
    <row r="43" spans="1:9" x14ac:dyDescent="0.25">
      <c r="A43" t="s">
        <v>23</v>
      </c>
      <c r="B43">
        <v>2025</v>
      </c>
      <c r="C43" t="s">
        <v>42</v>
      </c>
      <c r="D43">
        <v>19144</v>
      </c>
      <c r="E43" t="s">
        <v>25</v>
      </c>
      <c r="F43" t="s">
        <v>43</v>
      </c>
      <c r="G43" t="s">
        <v>27</v>
      </c>
      <c r="H43" t="s">
        <v>28</v>
      </c>
      <c r="I43" t="s">
        <v>29</v>
      </c>
    </row>
    <row r="44" spans="1:9" x14ac:dyDescent="0.25">
      <c r="A44" t="s">
        <v>23</v>
      </c>
      <c r="B44">
        <v>2025</v>
      </c>
      <c r="C44" t="s">
        <v>44</v>
      </c>
      <c r="D44">
        <v>1548</v>
      </c>
      <c r="E44" t="s">
        <v>25</v>
      </c>
      <c r="F44" t="s">
        <v>45</v>
      </c>
      <c r="G44" t="s">
        <v>27</v>
      </c>
      <c r="H44" t="s">
        <v>28</v>
      </c>
      <c r="I44" t="s">
        <v>29</v>
      </c>
    </row>
    <row r="45" spans="1:9" x14ac:dyDescent="0.25">
      <c r="A45" t="s">
        <v>23</v>
      </c>
      <c r="B45">
        <v>2025</v>
      </c>
      <c r="C45" t="s">
        <v>46</v>
      </c>
      <c r="D45">
        <v>2352</v>
      </c>
      <c r="E45" t="s">
        <v>25</v>
      </c>
      <c r="F45" t="s">
        <v>47</v>
      </c>
      <c r="G45" t="s">
        <v>27</v>
      </c>
      <c r="H45" t="s">
        <v>28</v>
      </c>
      <c r="I45" t="s">
        <v>29</v>
      </c>
    </row>
    <row r="46" spans="1:9" x14ac:dyDescent="0.25">
      <c r="A46" t="s">
        <v>23</v>
      </c>
      <c r="B46">
        <v>2025</v>
      </c>
      <c r="C46" t="s">
        <v>48</v>
      </c>
      <c r="D46">
        <v>11435</v>
      </c>
      <c r="E46" t="s">
        <v>25</v>
      </c>
      <c r="F46" t="s">
        <v>49</v>
      </c>
      <c r="G46" t="s">
        <v>27</v>
      </c>
      <c r="H46" t="s">
        <v>28</v>
      </c>
      <c r="I46" t="s">
        <v>29</v>
      </c>
    </row>
    <row r="47" spans="1:9" x14ac:dyDescent="0.25">
      <c r="A47" t="s">
        <v>23</v>
      </c>
      <c r="B47">
        <v>2025</v>
      </c>
      <c r="C47" t="s">
        <v>50</v>
      </c>
      <c r="D47">
        <v>155</v>
      </c>
      <c r="E47" t="s">
        <v>25</v>
      </c>
      <c r="F47" t="s">
        <v>51</v>
      </c>
      <c r="G47" t="s">
        <v>27</v>
      </c>
      <c r="H47" t="s">
        <v>28</v>
      </c>
      <c r="I47" t="s">
        <v>29</v>
      </c>
    </row>
    <row r="48" spans="1:9" x14ac:dyDescent="0.25">
      <c r="A48" t="s">
        <v>23</v>
      </c>
      <c r="B48">
        <v>2025</v>
      </c>
      <c r="C48" t="s">
        <v>55</v>
      </c>
      <c r="D48">
        <v>33537</v>
      </c>
      <c r="E48" t="s">
        <v>25</v>
      </c>
      <c r="F48" t="s">
        <v>56</v>
      </c>
      <c r="G48" t="s">
        <v>27</v>
      </c>
      <c r="H48" t="s">
        <v>28</v>
      </c>
      <c r="I48" t="s">
        <v>29</v>
      </c>
    </row>
    <row r="49" spans="1:9" x14ac:dyDescent="0.25">
      <c r="A49" t="s">
        <v>23</v>
      </c>
      <c r="B49">
        <v>2025</v>
      </c>
      <c r="C49" t="s">
        <v>57</v>
      </c>
      <c r="D49">
        <v>1920</v>
      </c>
      <c r="E49" t="s">
        <v>25</v>
      </c>
      <c r="F49" t="s">
        <v>58</v>
      </c>
      <c r="G49" t="s">
        <v>27</v>
      </c>
      <c r="H49" t="s">
        <v>28</v>
      </c>
      <c r="I49" t="s">
        <v>29</v>
      </c>
    </row>
    <row r="50" spans="1:9" x14ac:dyDescent="0.25">
      <c r="A50" t="s">
        <v>23</v>
      </c>
      <c r="B50">
        <v>2025</v>
      </c>
      <c r="C50" t="s">
        <v>59</v>
      </c>
      <c r="D50">
        <v>419</v>
      </c>
      <c r="E50" t="s">
        <v>25</v>
      </c>
      <c r="F50" t="s">
        <v>60</v>
      </c>
      <c r="G50" t="s">
        <v>27</v>
      </c>
      <c r="H50" t="s">
        <v>28</v>
      </c>
      <c r="I50" t="s">
        <v>29</v>
      </c>
    </row>
    <row r="51" spans="1:9" x14ac:dyDescent="0.25">
      <c r="A51" t="s">
        <v>23</v>
      </c>
      <c r="B51">
        <v>2025</v>
      </c>
      <c r="C51" t="s">
        <v>61</v>
      </c>
      <c r="D51">
        <v>46549</v>
      </c>
      <c r="E51" t="s">
        <v>25</v>
      </c>
      <c r="F51" t="s">
        <v>62</v>
      </c>
      <c r="G51" t="s">
        <v>27</v>
      </c>
      <c r="H51" t="s">
        <v>28</v>
      </c>
      <c r="I51" t="s">
        <v>29</v>
      </c>
    </row>
    <row r="52" spans="1:9" x14ac:dyDescent="0.25">
      <c r="A52" t="s">
        <v>23</v>
      </c>
      <c r="B52">
        <v>2025</v>
      </c>
      <c r="C52" t="s">
        <v>63</v>
      </c>
      <c r="D52">
        <v>1908.1516790000001</v>
      </c>
      <c r="E52" t="s">
        <v>25</v>
      </c>
      <c r="F52" t="s">
        <v>64</v>
      </c>
      <c r="G52" t="s">
        <v>27</v>
      </c>
      <c r="H52" t="s">
        <v>28</v>
      </c>
      <c r="I52" t="s">
        <v>29</v>
      </c>
    </row>
    <row r="53" spans="1:9" x14ac:dyDescent="0.25">
      <c r="A53" t="s">
        <v>68</v>
      </c>
      <c r="B53">
        <v>2023</v>
      </c>
      <c r="C53" t="s">
        <v>24</v>
      </c>
      <c r="D53">
        <v>45811</v>
      </c>
      <c r="E53" t="s">
        <v>25</v>
      </c>
      <c r="F53" t="s">
        <v>69</v>
      </c>
      <c r="G53" t="s">
        <v>70</v>
      </c>
      <c r="H53" t="s">
        <v>71</v>
      </c>
      <c r="I53" t="s">
        <v>72</v>
      </c>
    </row>
    <row r="54" spans="1:9" x14ac:dyDescent="0.25">
      <c r="A54" t="s">
        <v>68</v>
      </c>
      <c r="B54">
        <v>2023</v>
      </c>
      <c r="C54" t="s">
        <v>30</v>
      </c>
      <c r="D54">
        <v>8193</v>
      </c>
      <c r="E54" t="s">
        <v>25</v>
      </c>
      <c r="F54" t="s">
        <v>31</v>
      </c>
      <c r="G54" t="s">
        <v>70</v>
      </c>
      <c r="H54" t="s">
        <v>71</v>
      </c>
      <c r="I54" t="s">
        <v>72</v>
      </c>
    </row>
    <row r="55" spans="1:9" x14ac:dyDescent="0.25">
      <c r="A55" t="s">
        <v>68</v>
      </c>
      <c r="B55">
        <v>2023</v>
      </c>
      <c r="C55" t="s">
        <v>32</v>
      </c>
      <c r="D55">
        <v>6899</v>
      </c>
      <c r="E55" t="s">
        <v>25</v>
      </c>
      <c r="F55" t="s">
        <v>33</v>
      </c>
      <c r="G55" t="s">
        <v>70</v>
      </c>
      <c r="H55" t="s">
        <v>71</v>
      </c>
      <c r="I55" t="s">
        <v>72</v>
      </c>
    </row>
    <row r="56" spans="1:9" x14ac:dyDescent="0.25">
      <c r="A56" t="s">
        <v>68</v>
      </c>
      <c r="B56">
        <v>2023</v>
      </c>
      <c r="C56" t="s">
        <v>34</v>
      </c>
      <c r="D56">
        <v>938</v>
      </c>
      <c r="E56" t="s">
        <v>25</v>
      </c>
      <c r="F56" t="s">
        <v>35</v>
      </c>
      <c r="G56" t="s">
        <v>70</v>
      </c>
      <c r="H56" t="s">
        <v>71</v>
      </c>
      <c r="I56" t="s">
        <v>72</v>
      </c>
    </row>
    <row r="57" spans="1:9" x14ac:dyDescent="0.25">
      <c r="A57" t="s">
        <v>68</v>
      </c>
      <c r="B57">
        <v>2023</v>
      </c>
      <c r="C57" t="s">
        <v>36</v>
      </c>
      <c r="D57">
        <v>5961</v>
      </c>
      <c r="E57" t="s">
        <v>25</v>
      </c>
      <c r="F57" t="s">
        <v>73</v>
      </c>
      <c r="G57" t="s">
        <v>70</v>
      </c>
      <c r="H57" t="s">
        <v>71</v>
      </c>
      <c r="I57" t="s">
        <v>72</v>
      </c>
    </row>
    <row r="58" spans="1:9" x14ac:dyDescent="0.25">
      <c r="A58" t="s">
        <v>68</v>
      </c>
      <c r="B58">
        <v>2023</v>
      </c>
      <c r="C58" t="s">
        <v>38</v>
      </c>
      <c r="D58">
        <v>6</v>
      </c>
      <c r="E58" t="s">
        <v>25</v>
      </c>
      <c r="F58" t="s">
        <v>39</v>
      </c>
      <c r="G58" t="s">
        <v>70</v>
      </c>
      <c r="H58" t="s">
        <v>71</v>
      </c>
      <c r="I58" t="s">
        <v>72</v>
      </c>
    </row>
    <row r="59" spans="1:9" x14ac:dyDescent="0.25">
      <c r="A59" t="s">
        <v>68</v>
      </c>
      <c r="B59">
        <v>2023</v>
      </c>
      <c r="C59" t="s">
        <v>40</v>
      </c>
      <c r="D59">
        <v>10935</v>
      </c>
      <c r="E59" t="s">
        <v>25</v>
      </c>
      <c r="F59" t="s">
        <v>41</v>
      </c>
      <c r="G59" t="s">
        <v>70</v>
      </c>
      <c r="H59" t="s">
        <v>71</v>
      </c>
      <c r="I59" t="s">
        <v>72</v>
      </c>
    </row>
    <row r="60" spans="1:9" x14ac:dyDescent="0.25">
      <c r="A60" t="s">
        <v>68</v>
      </c>
      <c r="B60">
        <v>2023</v>
      </c>
      <c r="C60" t="s">
        <v>42</v>
      </c>
      <c r="D60">
        <v>10345</v>
      </c>
      <c r="E60" t="s">
        <v>25</v>
      </c>
      <c r="F60" t="s">
        <v>74</v>
      </c>
      <c r="G60" t="s">
        <v>70</v>
      </c>
      <c r="H60" t="s">
        <v>71</v>
      </c>
      <c r="I60" t="s">
        <v>72</v>
      </c>
    </row>
    <row r="61" spans="1:9" x14ac:dyDescent="0.25">
      <c r="A61" t="s">
        <v>68</v>
      </c>
      <c r="B61">
        <v>2023</v>
      </c>
      <c r="C61" t="s">
        <v>44</v>
      </c>
      <c r="D61">
        <v>1361</v>
      </c>
      <c r="E61" t="s">
        <v>25</v>
      </c>
      <c r="F61" t="s">
        <v>45</v>
      </c>
      <c r="G61" t="s">
        <v>70</v>
      </c>
      <c r="H61" t="s">
        <v>71</v>
      </c>
      <c r="I61" t="s">
        <v>72</v>
      </c>
    </row>
    <row r="62" spans="1:9" x14ac:dyDescent="0.25">
      <c r="A62" t="s">
        <v>68</v>
      </c>
      <c r="B62">
        <v>2023</v>
      </c>
      <c r="C62" t="s">
        <v>46</v>
      </c>
      <c r="D62">
        <v>2417</v>
      </c>
      <c r="E62" t="s">
        <v>25</v>
      </c>
      <c r="F62" t="s">
        <v>47</v>
      </c>
      <c r="G62" t="s">
        <v>70</v>
      </c>
      <c r="H62" t="s">
        <v>71</v>
      </c>
      <c r="I62" t="s">
        <v>72</v>
      </c>
    </row>
    <row r="63" spans="1:9" x14ac:dyDescent="0.25">
      <c r="A63" t="s">
        <v>68</v>
      </c>
      <c r="B63">
        <v>2023</v>
      </c>
      <c r="C63" t="s">
        <v>48</v>
      </c>
      <c r="D63">
        <v>5840</v>
      </c>
      <c r="E63" t="s">
        <v>25</v>
      </c>
      <c r="F63" t="s">
        <v>49</v>
      </c>
      <c r="G63" t="s">
        <v>70</v>
      </c>
      <c r="H63" t="s">
        <v>71</v>
      </c>
      <c r="I63" t="s">
        <v>72</v>
      </c>
    </row>
    <row r="64" spans="1:9" x14ac:dyDescent="0.25">
      <c r="A64" t="s">
        <v>68</v>
      </c>
      <c r="B64">
        <v>2023</v>
      </c>
      <c r="C64" t="s">
        <v>57</v>
      </c>
      <c r="D64">
        <v>1128</v>
      </c>
      <c r="E64" t="s">
        <v>25</v>
      </c>
      <c r="F64" t="s">
        <v>58</v>
      </c>
      <c r="G64" t="s">
        <v>75</v>
      </c>
      <c r="H64" t="s">
        <v>76</v>
      </c>
      <c r="I64" t="s">
        <v>77</v>
      </c>
    </row>
    <row r="65" spans="1:9" x14ac:dyDescent="0.25">
      <c r="A65" t="s">
        <v>68</v>
      </c>
      <c r="B65">
        <v>2023</v>
      </c>
      <c r="C65" t="s">
        <v>78</v>
      </c>
      <c r="D65">
        <v>28622</v>
      </c>
      <c r="E65" t="s">
        <v>25</v>
      </c>
      <c r="F65" t="s">
        <v>79</v>
      </c>
      <c r="G65" t="s">
        <v>75</v>
      </c>
      <c r="H65" t="s">
        <v>76</v>
      </c>
      <c r="I65" t="s">
        <v>77</v>
      </c>
    </row>
    <row r="66" spans="1:9" x14ac:dyDescent="0.25">
      <c r="A66" t="s">
        <v>68</v>
      </c>
      <c r="B66">
        <v>2023</v>
      </c>
      <c r="C66" t="s">
        <v>59</v>
      </c>
      <c r="D66">
        <v>23</v>
      </c>
      <c r="E66" t="s">
        <v>25</v>
      </c>
      <c r="F66" t="s">
        <v>60</v>
      </c>
      <c r="G66" t="s">
        <v>70</v>
      </c>
      <c r="H66" t="s">
        <v>71</v>
      </c>
      <c r="I66" t="s">
        <v>72</v>
      </c>
    </row>
    <row r="67" spans="1:9" x14ac:dyDescent="0.25">
      <c r="A67" t="s">
        <v>68</v>
      </c>
      <c r="B67">
        <v>2023</v>
      </c>
      <c r="C67" t="s">
        <v>61</v>
      </c>
      <c r="D67">
        <v>39166</v>
      </c>
      <c r="E67" t="s">
        <v>25</v>
      </c>
      <c r="F67" t="s">
        <v>62</v>
      </c>
      <c r="G67" t="s">
        <v>70</v>
      </c>
      <c r="H67" t="s">
        <v>71</v>
      </c>
      <c r="I67" t="s">
        <v>72</v>
      </c>
    </row>
    <row r="68" spans="1:9" x14ac:dyDescent="0.25">
      <c r="A68" t="s">
        <v>68</v>
      </c>
      <c r="B68">
        <v>2023</v>
      </c>
      <c r="C68" t="s">
        <v>80</v>
      </c>
      <c r="D68">
        <v>733</v>
      </c>
      <c r="E68" t="s">
        <v>25</v>
      </c>
      <c r="F68" t="s">
        <v>81</v>
      </c>
      <c r="G68" t="s">
        <v>70</v>
      </c>
      <c r="H68" t="s">
        <v>71</v>
      </c>
      <c r="I68" t="s">
        <v>72</v>
      </c>
    </row>
    <row r="69" spans="1:9" x14ac:dyDescent="0.25">
      <c r="A69" t="s">
        <v>68</v>
      </c>
      <c r="B69">
        <v>2023</v>
      </c>
      <c r="C69" t="s">
        <v>82</v>
      </c>
      <c r="D69">
        <v>275</v>
      </c>
      <c r="E69" t="s">
        <v>25</v>
      </c>
      <c r="F69" t="s">
        <v>83</v>
      </c>
      <c r="G69" t="s">
        <v>70</v>
      </c>
      <c r="H69" t="s">
        <v>71</v>
      </c>
      <c r="I69" t="s">
        <v>72</v>
      </c>
    </row>
    <row r="70" spans="1:9" x14ac:dyDescent="0.25">
      <c r="A70" t="s">
        <v>68</v>
      </c>
      <c r="B70">
        <v>2023</v>
      </c>
      <c r="C70" t="s">
        <v>84</v>
      </c>
      <c r="D70">
        <v>3926</v>
      </c>
      <c r="E70" t="s">
        <v>25</v>
      </c>
      <c r="F70" t="s">
        <v>85</v>
      </c>
      <c r="G70" t="s">
        <v>70</v>
      </c>
      <c r="H70" t="s">
        <v>71</v>
      </c>
      <c r="I70" t="s">
        <v>72</v>
      </c>
    </row>
    <row r="71" spans="1:9" x14ac:dyDescent="0.25">
      <c r="A71" t="s">
        <v>68</v>
      </c>
      <c r="B71">
        <v>2023</v>
      </c>
      <c r="C71" t="s">
        <v>86</v>
      </c>
      <c r="D71">
        <v>1520</v>
      </c>
      <c r="E71" t="s">
        <v>25</v>
      </c>
      <c r="F71" t="s">
        <v>87</v>
      </c>
      <c r="G71" t="s">
        <v>75</v>
      </c>
      <c r="H71" t="s">
        <v>76</v>
      </c>
      <c r="I71" t="s">
        <v>77</v>
      </c>
    </row>
    <row r="72" spans="1:9" x14ac:dyDescent="0.25">
      <c r="A72" t="s">
        <v>68</v>
      </c>
      <c r="B72">
        <v>2023</v>
      </c>
      <c r="C72" t="s">
        <v>88</v>
      </c>
      <c r="D72">
        <v>147</v>
      </c>
      <c r="E72" t="s">
        <v>25</v>
      </c>
      <c r="F72" t="s">
        <v>89</v>
      </c>
      <c r="G72" t="s">
        <v>70</v>
      </c>
      <c r="H72" t="s">
        <v>71</v>
      </c>
      <c r="I72" t="s">
        <v>72</v>
      </c>
    </row>
    <row r="73" spans="1:9" x14ac:dyDescent="0.25">
      <c r="A73" t="s">
        <v>68</v>
      </c>
      <c r="B73">
        <v>2023</v>
      </c>
      <c r="C73" t="s">
        <v>55</v>
      </c>
      <c r="D73">
        <v>27494</v>
      </c>
      <c r="E73" t="s">
        <v>25</v>
      </c>
      <c r="F73" t="s">
        <v>90</v>
      </c>
    </row>
    <row r="74" spans="1:9" x14ac:dyDescent="0.25">
      <c r="A74" t="s">
        <v>68</v>
      </c>
      <c r="B74">
        <v>2023</v>
      </c>
      <c r="C74" t="s">
        <v>63</v>
      </c>
      <c r="D74">
        <v>1552</v>
      </c>
      <c r="E74" t="s">
        <v>25</v>
      </c>
      <c r="F74" t="s">
        <v>91</v>
      </c>
      <c r="G74" t="s">
        <v>75</v>
      </c>
      <c r="H74" t="s">
        <v>76</v>
      </c>
      <c r="I74" t="s">
        <v>77</v>
      </c>
    </row>
    <row r="75" spans="1:9" x14ac:dyDescent="0.25">
      <c r="A75" t="s">
        <v>68</v>
      </c>
      <c r="B75">
        <v>2024</v>
      </c>
      <c r="C75" t="s">
        <v>24</v>
      </c>
      <c r="D75">
        <v>54073</v>
      </c>
      <c r="E75" t="s">
        <v>25</v>
      </c>
      <c r="F75" t="s">
        <v>69</v>
      </c>
      <c r="G75" t="s">
        <v>70</v>
      </c>
      <c r="H75" t="s">
        <v>71</v>
      </c>
      <c r="I75" t="s">
        <v>72</v>
      </c>
    </row>
    <row r="76" spans="1:9" x14ac:dyDescent="0.25">
      <c r="A76" t="s">
        <v>68</v>
      </c>
      <c r="B76">
        <v>2024</v>
      </c>
      <c r="C76" t="s">
        <v>30</v>
      </c>
      <c r="D76">
        <v>10003</v>
      </c>
      <c r="E76" t="s">
        <v>25</v>
      </c>
      <c r="F76" t="s">
        <v>31</v>
      </c>
      <c r="G76" t="s">
        <v>70</v>
      </c>
      <c r="H76" t="s">
        <v>71</v>
      </c>
      <c r="I76" t="s">
        <v>72</v>
      </c>
    </row>
    <row r="77" spans="1:9" x14ac:dyDescent="0.25">
      <c r="A77" t="s">
        <v>68</v>
      </c>
      <c r="B77">
        <v>2024</v>
      </c>
      <c r="C77" t="s">
        <v>32</v>
      </c>
      <c r="D77">
        <v>8691</v>
      </c>
      <c r="E77" t="s">
        <v>25</v>
      </c>
      <c r="F77" t="s">
        <v>33</v>
      </c>
      <c r="G77" t="s">
        <v>70</v>
      </c>
      <c r="H77" t="s">
        <v>71</v>
      </c>
      <c r="I77" t="s">
        <v>72</v>
      </c>
    </row>
    <row r="78" spans="1:9" x14ac:dyDescent="0.25">
      <c r="A78" t="s">
        <v>68</v>
      </c>
      <c r="B78">
        <v>2024</v>
      </c>
      <c r="C78" t="s">
        <v>34</v>
      </c>
      <c r="D78">
        <v>1650</v>
      </c>
      <c r="E78" t="s">
        <v>25</v>
      </c>
      <c r="F78" t="s">
        <v>35</v>
      </c>
      <c r="G78" t="s">
        <v>70</v>
      </c>
      <c r="H78" t="s">
        <v>71</v>
      </c>
      <c r="I78" t="s">
        <v>72</v>
      </c>
    </row>
    <row r="79" spans="1:9" x14ac:dyDescent="0.25">
      <c r="A79" t="s">
        <v>68</v>
      </c>
      <c r="B79">
        <v>2024</v>
      </c>
      <c r="C79" t="s">
        <v>36</v>
      </c>
      <c r="D79">
        <v>7041</v>
      </c>
      <c r="E79" t="s">
        <v>25</v>
      </c>
      <c r="F79" t="s">
        <v>73</v>
      </c>
      <c r="G79" t="s">
        <v>70</v>
      </c>
      <c r="H79" t="s">
        <v>71</v>
      </c>
      <c r="I79" t="s">
        <v>72</v>
      </c>
    </row>
    <row r="80" spans="1:9" x14ac:dyDescent="0.25">
      <c r="A80" t="s">
        <v>68</v>
      </c>
      <c r="B80">
        <v>2024</v>
      </c>
      <c r="C80" t="s">
        <v>38</v>
      </c>
      <c r="D80">
        <v>6</v>
      </c>
      <c r="E80" t="s">
        <v>25</v>
      </c>
      <c r="F80" t="s">
        <v>39</v>
      </c>
      <c r="G80" t="s">
        <v>70</v>
      </c>
      <c r="H80" t="s">
        <v>71</v>
      </c>
      <c r="I80" t="s">
        <v>72</v>
      </c>
    </row>
    <row r="81" spans="1:9" x14ac:dyDescent="0.25">
      <c r="A81" t="s">
        <v>68</v>
      </c>
      <c r="B81">
        <v>2024</v>
      </c>
      <c r="C81" t="s">
        <v>40</v>
      </c>
      <c r="D81">
        <v>13583</v>
      </c>
      <c r="E81" t="s">
        <v>25</v>
      </c>
      <c r="F81" t="s">
        <v>41</v>
      </c>
      <c r="G81" t="s">
        <v>70</v>
      </c>
      <c r="H81" t="s">
        <v>71</v>
      </c>
      <c r="I81" t="s">
        <v>72</v>
      </c>
    </row>
    <row r="82" spans="1:9" x14ac:dyDescent="0.25">
      <c r="A82" t="s">
        <v>68</v>
      </c>
      <c r="B82">
        <v>2024</v>
      </c>
      <c r="C82" t="s">
        <v>42</v>
      </c>
      <c r="D82">
        <v>11861</v>
      </c>
      <c r="E82" t="s">
        <v>25</v>
      </c>
      <c r="F82" t="s">
        <v>74</v>
      </c>
      <c r="G82" t="s">
        <v>70</v>
      </c>
      <c r="H82" t="s">
        <v>71</v>
      </c>
      <c r="I82" t="s">
        <v>72</v>
      </c>
    </row>
    <row r="83" spans="1:9" x14ac:dyDescent="0.25">
      <c r="A83" t="s">
        <v>68</v>
      </c>
      <c r="B83">
        <v>2024</v>
      </c>
      <c r="C83" t="s">
        <v>44</v>
      </c>
      <c r="D83">
        <v>1924</v>
      </c>
      <c r="E83" t="s">
        <v>25</v>
      </c>
      <c r="F83" t="s">
        <v>45</v>
      </c>
      <c r="G83" t="s">
        <v>70</v>
      </c>
      <c r="H83" t="s">
        <v>71</v>
      </c>
      <c r="I83" t="s">
        <v>72</v>
      </c>
    </row>
    <row r="84" spans="1:9" x14ac:dyDescent="0.25">
      <c r="A84" t="s">
        <v>68</v>
      </c>
      <c r="B84">
        <v>2024</v>
      </c>
      <c r="C84" t="s">
        <v>46</v>
      </c>
      <c r="D84">
        <v>2662</v>
      </c>
      <c r="E84" t="s">
        <v>25</v>
      </c>
      <c r="F84" t="s">
        <v>47</v>
      </c>
      <c r="G84" t="s">
        <v>70</v>
      </c>
      <c r="H84" t="s">
        <v>71</v>
      </c>
      <c r="I84" t="s">
        <v>72</v>
      </c>
    </row>
    <row r="85" spans="1:9" x14ac:dyDescent="0.25">
      <c r="A85" t="s">
        <v>68</v>
      </c>
      <c r="B85">
        <v>2024</v>
      </c>
      <c r="C85" t="s">
        <v>48</v>
      </c>
      <c r="D85">
        <v>5488</v>
      </c>
      <c r="E85" t="s">
        <v>25</v>
      </c>
      <c r="F85" t="s">
        <v>49</v>
      </c>
      <c r="G85" t="s">
        <v>70</v>
      </c>
      <c r="H85" t="s">
        <v>71</v>
      </c>
      <c r="I85" t="s">
        <v>72</v>
      </c>
    </row>
    <row r="86" spans="1:9" x14ac:dyDescent="0.25">
      <c r="A86" t="s">
        <v>68</v>
      </c>
      <c r="B86">
        <v>2024</v>
      </c>
      <c r="C86" t="s">
        <v>57</v>
      </c>
      <c r="D86">
        <v>1452</v>
      </c>
      <c r="E86" t="s">
        <v>25</v>
      </c>
      <c r="F86" t="s">
        <v>58</v>
      </c>
      <c r="G86" t="s">
        <v>70</v>
      </c>
      <c r="H86" t="s">
        <v>71</v>
      </c>
      <c r="I86" t="s">
        <v>72</v>
      </c>
    </row>
    <row r="87" spans="1:9" x14ac:dyDescent="0.25">
      <c r="A87" t="s">
        <v>68</v>
      </c>
      <c r="B87">
        <v>2024</v>
      </c>
      <c r="C87" t="s">
        <v>78</v>
      </c>
      <c r="D87">
        <v>30295</v>
      </c>
      <c r="E87" t="s">
        <v>25</v>
      </c>
      <c r="F87" t="s">
        <v>79</v>
      </c>
      <c r="G87" t="s">
        <v>70</v>
      </c>
      <c r="H87" t="s">
        <v>71</v>
      </c>
      <c r="I87" t="s">
        <v>72</v>
      </c>
    </row>
    <row r="88" spans="1:9" x14ac:dyDescent="0.25">
      <c r="A88" t="s">
        <v>68</v>
      </c>
      <c r="B88">
        <v>2024</v>
      </c>
      <c r="C88" t="s">
        <v>59</v>
      </c>
      <c r="D88">
        <v>85</v>
      </c>
      <c r="E88" t="s">
        <v>25</v>
      </c>
      <c r="F88" t="s">
        <v>60</v>
      </c>
      <c r="G88" t="s">
        <v>70</v>
      </c>
      <c r="H88" t="s">
        <v>71</v>
      </c>
      <c r="I88" t="s">
        <v>72</v>
      </c>
    </row>
    <row r="89" spans="1:9" x14ac:dyDescent="0.25">
      <c r="A89" t="s">
        <v>68</v>
      </c>
      <c r="B89">
        <v>2024</v>
      </c>
      <c r="C89" t="s">
        <v>61</v>
      </c>
      <c r="D89">
        <v>40871</v>
      </c>
      <c r="E89" t="s">
        <v>25</v>
      </c>
      <c r="F89" t="s">
        <v>62</v>
      </c>
      <c r="G89" t="s">
        <v>70</v>
      </c>
      <c r="H89" t="s">
        <v>71</v>
      </c>
      <c r="I89" t="s">
        <v>72</v>
      </c>
    </row>
    <row r="90" spans="1:9" x14ac:dyDescent="0.25">
      <c r="A90" t="s">
        <v>68</v>
      </c>
      <c r="B90">
        <v>2024</v>
      </c>
      <c r="C90" t="s">
        <v>80</v>
      </c>
      <c r="D90">
        <v>799</v>
      </c>
      <c r="E90" t="s">
        <v>25</v>
      </c>
      <c r="F90" t="s">
        <v>81</v>
      </c>
      <c r="G90" t="s">
        <v>70</v>
      </c>
      <c r="H90" t="s">
        <v>71</v>
      </c>
      <c r="I90" t="s">
        <v>72</v>
      </c>
    </row>
    <row r="91" spans="1:9" x14ac:dyDescent="0.25">
      <c r="A91" t="s">
        <v>68</v>
      </c>
      <c r="B91">
        <v>2024</v>
      </c>
      <c r="C91" t="s">
        <v>82</v>
      </c>
      <c r="D91">
        <v>343</v>
      </c>
      <c r="E91" t="s">
        <v>25</v>
      </c>
      <c r="F91" t="s">
        <v>83</v>
      </c>
      <c r="G91" t="s">
        <v>70</v>
      </c>
      <c r="H91" t="s">
        <v>71</v>
      </c>
      <c r="I91" t="s">
        <v>72</v>
      </c>
    </row>
    <row r="92" spans="1:9" x14ac:dyDescent="0.25">
      <c r="A92" t="s">
        <v>68</v>
      </c>
      <c r="B92">
        <v>2024</v>
      </c>
      <c r="C92" t="s">
        <v>84</v>
      </c>
      <c r="D92">
        <v>3923</v>
      </c>
      <c r="E92" t="s">
        <v>25</v>
      </c>
      <c r="F92" t="s">
        <v>85</v>
      </c>
      <c r="G92" t="s">
        <v>70</v>
      </c>
      <c r="H92" t="s">
        <v>71</v>
      </c>
      <c r="I92" t="s">
        <v>72</v>
      </c>
    </row>
    <row r="93" spans="1:9" x14ac:dyDescent="0.25">
      <c r="A93" t="s">
        <v>68</v>
      </c>
      <c r="B93">
        <v>2024</v>
      </c>
      <c r="C93" t="s">
        <v>86</v>
      </c>
      <c r="D93">
        <v>1330</v>
      </c>
      <c r="E93" t="s">
        <v>25</v>
      </c>
      <c r="F93" t="s">
        <v>87</v>
      </c>
      <c r="G93" t="s">
        <v>70</v>
      </c>
      <c r="H93" t="s">
        <v>71</v>
      </c>
      <c r="I93" t="s">
        <v>72</v>
      </c>
    </row>
    <row r="94" spans="1:9" x14ac:dyDescent="0.25">
      <c r="A94" t="s">
        <v>68</v>
      </c>
      <c r="B94">
        <v>2024</v>
      </c>
      <c r="C94" t="s">
        <v>88</v>
      </c>
      <c r="D94">
        <v>268</v>
      </c>
      <c r="E94" t="s">
        <v>25</v>
      </c>
      <c r="F94" t="s">
        <v>89</v>
      </c>
      <c r="G94" t="s">
        <v>70</v>
      </c>
      <c r="H94" t="s">
        <v>71</v>
      </c>
      <c r="I94" t="s">
        <v>72</v>
      </c>
    </row>
    <row r="95" spans="1:9" x14ac:dyDescent="0.25">
      <c r="A95" t="s">
        <v>68</v>
      </c>
      <c r="B95">
        <v>2024</v>
      </c>
      <c r="C95" t="s">
        <v>55</v>
      </c>
      <c r="D95">
        <v>28843</v>
      </c>
      <c r="E95" t="s">
        <v>25</v>
      </c>
      <c r="F95" t="s">
        <v>90</v>
      </c>
    </row>
    <row r="96" spans="1:9" x14ac:dyDescent="0.25">
      <c r="A96" t="s">
        <v>68</v>
      </c>
      <c r="B96">
        <v>2024</v>
      </c>
      <c r="C96" t="s">
        <v>63</v>
      </c>
      <c r="D96">
        <v>1552</v>
      </c>
      <c r="E96" t="s">
        <v>25</v>
      </c>
      <c r="F96" t="s">
        <v>91</v>
      </c>
      <c r="G96" t="s">
        <v>70</v>
      </c>
      <c r="H96" t="s">
        <v>71</v>
      </c>
      <c r="I96" t="s">
        <v>72</v>
      </c>
    </row>
    <row r="97" spans="1:9" x14ac:dyDescent="0.25">
      <c r="A97" t="s">
        <v>68</v>
      </c>
      <c r="B97">
        <v>2025</v>
      </c>
      <c r="C97" t="s">
        <v>24</v>
      </c>
      <c r="D97">
        <v>58739</v>
      </c>
      <c r="E97" t="s">
        <v>25</v>
      </c>
      <c r="F97" t="s">
        <v>69</v>
      </c>
      <c r="G97" t="s">
        <v>70</v>
      </c>
      <c r="H97" t="s">
        <v>71</v>
      </c>
      <c r="I97" t="s">
        <v>72</v>
      </c>
    </row>
    <row r="98" spans="1:9" x14ac:dyDescent="0.25">
      <c r="A98" t="s">
        <v>68</v>
      </c>
      <c r="B98">
        <v>2025</v>
      </c>
      <c r="C98" t="s">
        <v>30</v>
      </c>
      <c r="D98">
        <v>13743</v>
      </c>
      <c r="E98" t="s">
        <v>25</v>
      </c>
      <c r="F98" t="s">
        <v>31</v>
      </c>
      <c r="G98" t="s">
        <v>70</v>
      </c>
      <c r="H98" t="s">
        <v>71</v>
      </c>
      <c r="I98" t="s">
        <v>72</v>
      </c>
    </row>
    <row r="99" spans="1:9" x14ac:dyDescent="0.25">
      <c r="A99" t="s">
        <v>68</v>
      </c>
      <c r="B99">
        <v>2025</v>
      </c>
      <c r="C99" t="s">
        <v>32</v>
      </c>
      <c r="D99">
        <v>12402</v>
      </c>
      <c r="E99" t="s">
        <v>25</v>
      </c>
      <c r="F99" t="s">
        <v>33</v>
      </c>
      <c r="G99" t="s">
        <v>70</v>
      </c>
      <c r="H99" t="s">
        <v>71</v>
      </c>
      <c r="I99" t="s">
        <v>72</v>
      </c>
    </row>
    <row r="100" spans="1:9" x14ac:dyDescent="0.25">
      <c r="A100" t="s">
        <v>68</v>
      </c>
      <c r="B100">
        <v>2025</v>
      </c>
      <c r="C100" t="s">
        <v>34</v>
      </c>
      <c r="D100">
        <v>2169</v>
      </c>
      <c r="E100" t="s">
        <v>25</v>
      </c>
      <c r="F100" t="s">
        <v>35</v>
      </c>
      <c r="G100" t="s">
        <v>70</v>
      </c>
      <c r="H100" t="s">
        <v>71</v>
      </c>
      <c r="I100" t="s">
        <v>72</v>
      </c>
    </row>
    <row r="101" spans="1:9" x14ac:dyDescent="0.25">
      <c r="A101" t="s">
        <v>68</v>
      </c>
      <c r="B101">
        <v>2025</v>
      </c>
      <c r="C101" t="s">
        <v>36</v>
      </c>
      <c r="D101">
        <v>10233</v>
      </c>
      <c r="E101" t="s">
        <v>25</v>
      </c>
      <c r="F101" t="s">
        <v>73</v>
      </c>
      <c r="G101" t="s">
        <v>70</v>
      </c>
      <c r="H101" t="s">
        <v>71</v>
      </c>
      <c r="I101" t="s">
        <v>72</v>
      </c>
    </row>
    <row r="102" spans="1:9" x14ac:dyDescent="0.25">
      <c r="A102" t="s">
        <v>68</v>
      </c>
      <c r="B102">
        <v>2025</v>
      </c>
      <c r="C102" t="s">
        <v>38</v>
      </c>
      <c r="D102">
        <v>8</v>
      </c>
      <c r="E102" t="s">
        <v>25</v>
      </c>
      <c r="F102" t="s">
        <v>39</v>
      </c>
      <c r="G102" t="s">
        <v>70</v>
      </c>
      <c r="H102" t="s">
        <v>71</v>
      </c>
      <c r="I102" t="s">
        <v>72</v>
      </c>
    </row>
    <row r="103" spans="1:9" x14ac:dyDescent="0.25">
      <c r="A103" t="s">
        <v>68</v>
      </c>
      <c r="B103">
        <v>2025</v>
      </c>
      <c r="C103" t="s">
        <v>40</v>
      </c>
      <c r="D103">
        <v>14232</v>
      </c>
      <c r="E103" t="s">
        <v>25</v>
      </c>
      <c r="F103" t="s">
        <v>41</v>
      </c>
      <c r="G103" t="s">
        <v>70</v>
      </c>
      <c r="H103" t="s">
        <v>71</v>
      </c>
      <c r="I103" t="s">
        <v>72</v>
      </c>
    </row>
    <row r="104" spans="1:9" x14ac:dyDescent="0.25">
      <c r="A104" t="s">
        <v>68</v>
      </c>
      <c r="B104">
        <v>2025</v>
      </c>
      <c r="C104" t="s">
        <v>42</v>
      </c>
      <c r="D104">
        <v>14575</v>
      </c>
      <c r="E104" t="s">
        <v>25</v>
      </c>
      <c r="F104" t="s">
        <v>74</v>
      </c>
      <c r="G104" t="s">
        <v>70</v>
      </c>
      <c r="H104" t="s">
        <v>71</v>
      </c>
      <c r="I104" t="s">
        <v>72</v>
      </c>
    </row>
    <row r="105" spans="1:9" x14ac:dyDescent="0.25">
      <c r="A105" t="s">
        <v>68</v>
      </c>
      <c r="B105">
        <v>2025</v>
      </c>
      <c r="C105" t="s">
        <v>44</v>
      </c>
      <c r="D105">
        <v>2810</v>
      </c>
      <c r="E105" t="s">
        <v>25</v>
      </c>
      <c r="F105" t="s">
        <v>45</v>
      </c>
      <c r="G105" t="s">
        <v>70</v>
      </c>
      <c r="H105" t="s">
        <v>71</v>
      </c>
      <c r="I105" t="s">
        <v>72</v>
      </c>
    </row>
    <row r="106" spans="1:9" x14ac:dyDescent="0.25">
      <c r="A106" t="s">
        <v>68</v>
      </c>
      <c r="B106">
        <v>2025</v>
      </c>
      <c r="C106" t="s">
        <v>46</v>
      </c>
      <c r="D106">
        <v>3095</v>
      </c>
      <c r="E106" t="s">
        <v>25</v>
      </c>
      <c r="F106" t="s">
        <v>47</v>
      </c>
      <c r="G106" t="s">
        <v>70</v>
      </c>
      <c r="H106" t="s">
        <v>71</v>
      </c>
      <c r="I106" t="s">
        <v>72</v>
      </c>
    </row>
    <row r="107" spans="1:9" x14ac:dyDescent="0.25">
      <c r="A107" t="s">
        <v>68</v>
      </c>
      <c r="B107">
        <v>2025</v>
      </c>
      <c r="C107" t="s">
        <v>48</v>
      </c>
      <c r="D107">
        <v>5711</v>
      </c>
      <c r="E107" t="s">
        <v>25</v>
      </c>
      <c r="F107" t="s">
        <v>49</v>
      </c>
      <c r="G107" t="s">
        <v>70</v>
      </c>
      <c r="H107" t="s">
        <v>71</v>
      </c>
      <c r="I107" t="s">
        <v>72</v>
      </c>
    </row>
    <row r="108" spans="1:9" x14ac:dyDescent="0.25">
      <c r="A108" t="s">
        <v>68</v>
      </c>
      <c r="B108">
        <v>2025</v>
      </c>
      <c r="C108" t="s">
        <v>57</v>
      </c>
      <c r="D108">
        <v>1803</v>
      </c>
      <c r="E108" t="s">
        <v>25</v>
      </c>
      <c r="F108" t="s">
        <v>58</v>
      </c>
      <c r="G108" t="s">
        <v>70</v>
      </c>
      <c r="H108" t="s">
        <v>71</v>
      </c>
      <c r="I108" t="s">
        <v>72</v>
      </c>
    </row>
    <row r="109" spans="1:9" x14ac:dyDescent="0.25">
      <c r="A109" t="s">
        <v>68</v>
      </c>
      <c r="B109">
        <v>2025</v>
      </c>
      <c r="C109" t="s">
        <v>78</v>
      </c>
      <c r="D109">
        <v>29622</v>
      </c>
      <c r="E109" t="s">
        <v>25</v>
      </c>
      <c r="F109" t="s">
        <v>79</v>
      </c>
      <c r="G109" t="s">
        <v>70</v>
      </c>
      <c r="H109" t="s">
        <v>71</v>
      </c>
      <c r="I109" t="s">
        <v>72</v>
      </c>
    </row>
    <row r="110" spans="1:9" x14ac:dyDescent="0.25">
      <c r="A110" t="s">
        <v>68</v>
      </c>
      <c r="B110">
        <v>2025</v>
      </c>
      <c r="C110" t="s">
        <v>59</v>
      </c>
      <c r="D110">
        <v>52</v>
      </c>
      <c r="E110" t="s">
        <v>25</v>
      </c>
      <c r="F110" t="s">
        <v>60</v>
      </c>
      <c r="G110" t="s">
        <v>70</v>
      </c>
      <c r="H110" t="s">
        <v>71</v>
      </c>
      <c r="I110" t="s">
        <v>72</v>
      </c>
    </row>
    <row r="111" spans="1:9" x14ac:dyDescent="0.25">
      <c r="A111" t="s">
        <v>68</v>
      </c>
      <c r="B111">
        <v>2025</v>
      </c>
      <c r="C111" t="s">
        <v>61</v>
      </c>
      <c r="D111">
        <v>48719</v>
      </c>
      <c r="E111" t="s">
        <v>25</v>
      </c>
      <c r="F111" t="s">
        <v>62</v>
      </c>
      <c r="G111" t="s">
        <v>70</v>
      </c>
      <c r="H111" t="s">
        <v>71</v>
      </c>
      <c r="I111" t="s">
        <v>72</v>
      </c>
    </row>
    <row r="112" spans="1:9" x14ac:dyDescent="0.25">
      <c r="A112" t="s">
        <v>68</v>
      </c>
      <c r="B112">
        <v>2025</v>
      </c>
      <c r="C112" t="s">
        <v>80</v>
      </c>
      <c r="D112">
        <v>879</v>
      </c>
      <c r="E112" t="s">
        <v>25</v>
      </c>
      <c r="F112" t="s">
        <v>81</v>
      </c>
      <c r="G112" t="s">
        <v>70</v>
      </c>
      <c r="H112" t="s">
        <v>71</v>
      </c>
      <c r="I112" t="s">
        <v>72</v>
      </c>
    </row>
    <row r="113" spans="1:9" x14ac:dyDescent="0.25">
      <c r="A113" t="s">
        <v>68</v>
      </c>
      <c r="B113">
        <v>2025</v>
      </c>
      <c r="C113" t="s">
        <v>82</v>
      </c>
      <c r="D113">
        <v>404</v>
      </c>
      <c r="E113" t="s">
        <v>25</v>
      </c>
      <c r="F113" t="s">
        <v>83</v>
      </c>
      <c r="G113" t="s">
        <v>70</v>
      </c>
      <c r="H113" t="s">
        <v>71</v>
      </c>
      <c r="I113" t="s">
        <v>72</v>
      </c>
    </row>
    <row r="114" spans="1:9" x14ac:dyDescent="0.25">
      <c r="A114" t="s">
        <v>68</v>
      </c>
      <c r="B114">
        <v>2025</v>
      </c>
      <c r="C114" t="s">
        <v>84</v>
      </c>
      <c r="D114">
        <v>4207</v>
      </c>
      <c r="E114" t="s">
        <v>25</v>
      </c>
      <c r="F114" t="s">
        <v>85</v>
      </c>
      <c r="G114" t="s">
        <v>70</v>
      </c>
      <c r="H114" t="s">
        <v>71</v>
      </c>
      <c r="I114" t="s">
        <v>72</v>
      </c>
    </row>
    <row r="115" spans="1:9" x14ac:dyDescent="0.25">
      <c r="A115" t="s">
        <v>68</v>
      </c>
      <c r="B115">
        <v>2025</v>
      </c>
      <c r="C115" t="s">
        <v>86</v>
      </c>
      <c r="D115">
        <v>1105</v>
      </c>
      <c r="E115" t="s">
        <v>25</v>
      </c>
      <c r="F115" t="s">
        <v>87</v>
      </c>
      <c r="G115" t="s">
        <v>70</v>
      </c>
      <c r="H115" t="s">
        <v>71</v>
      </c>
      <c r="I115" t="s">
        <v>72</v>
      </c>
    </row>
    <row r="116" spans="1:9" x14ac:dyDescent="0.25">
      <c r="A116" t="s">
        <v>68</v>
      </c>
      <c r="B116">
        <v>2025</v>
      </c>
      <c r="C116" t="s">
        <v>88</v>
      </c>
      <c r="D116">
        <v>302</v>
      </c>
      <c r="E116" t="s">
        <v>25</v>
      </c>
      <c r="F116" t="s">
        <v>89</v>
      </c>
      <c r="G116" t="s">
        <v>70</v>
      </c>
      <c r="H116" t="s">
        <v>71</v>
      </c>
      <c r="I116" t="s">
        <v>72</v>
      </c>
    </row>
    <row r="117" spans="1:9" x14ac:dyDescent="0.25">
      <c r="A117" t="s">
        <v>68</v>
      </c>
      <c r="B117">
        <v>2025</v>
      </c>
      <c r="C117" t="s">
        <v>55</v>
      </c>
      <c r="D117">
        <v>27819</v>
      </c>
      <c r="E117" t="s">
        <v>25</v>
      </c>
      <c r="F117" t="s">
        <v>90</v>
      </c>
    </row>
    <row r="118" spans="1:9" x14ac:dyDescent="0.25">
      <c r="A118" t="s">
        <v>68</v>
      </c>
      <c r="B118">
        <v>2025</v>
      </c>
      <c r="C118" t="s">
        <v>63</v>
      </c>
      <c r="D118">
        <v>1550.907927</v>
      </c>
      <c r="E118" t="s">
        <v>25</v>
      </c>
      <c r="F118" t="s">
        <v>92</v>
      </c>
      <c r="G118" t="s">
        <v>70</v>
      </c>
      <c r="H118" t="s">
        <v>71</v>
      </c>
      <c r="I118" t="s">
        <v>72</v>
      </c>
    </row>
    <row r="119" spans="1:9" x14ac:dyDescent="0.25">
      <c r="A119" t="s">
        <v>68</v>
      </c>
      <c r="B119">
        <v>2025</v>
      </c>
      <c r="C119" t="s">
        <v>93</v>
      </c>
      <c r="D119">
        <v>1552</v>
      </c>
      <c r="E119" t="s">
        <v>25</v>
      </c>
      <c r="F119" t="s">
        <v>91</v>
      </c>
      <c r="G119" t="s">
        <v>70</v>
      </c>
      <c r="H119" t="s">
        <v>71</v>
      </c>
      <c r="I119" t="s">
        <v>72</v>
      </c>
    </row>
    <row r="120" spans="1:9" x14ac:dyDescent="0.25">
      <c r="A120" t="s">
        <v>94</v>
      </c>
      <c r="B120">
        <v>2023</v>
      </c>
      <c r="C120" t="s">
        <v>24</v>
      </c>
      <c r="D120">
        <v>30328</v>
      </c>
      <c r="E120" t="s">
        <v>95</v>
      </c>
      <c r="F120" t="s">
        <v>69</v>
      </c>
      <c r="G120" t="s">
        <v>96</v>
      </c>
      <c r="H120" t="s">
        <v>97</v>
      </c>
      <c r="I120" t="s">
        <v>98</v>
      </c>
    </row>
    <row r="121" spans="1:9" x14ac:dyDescent="0.25">
      <c r="A121" t="s">
        <v>94</v>
      </c>
      <c r="B121">
        <v>2023</v>
      </c>
      <c r="C121" t="s">
        <v>30</v>
      </c>
      <c r="D121">
        <v>6745</v>
      </c>
      <c r="E121" t="s">
        <v>95</v>
      </c>
      <c r="F121" t="s">
        <v>31</v>
      </c>
      <c r="G121" t="s">
        <v>99</v>
      </c>
      <c r="H121" t="s">
        <v>100</v>
      </c>
      <c r="I121" t="s">
        <v>101</v>
      </c>
    </row>
    <row r="122" spans="1:9" x14ac:dyDescent="0.25">
      <c r="A122" t="s">
        <v>94</v>
      </c>
      <c r="B122">
        <v>2023</v>
      </c>
      <c r="C122" t="s">
        <v>32</v>
      </c>
      <c r="D122">
        <v>6064</v>
      </c>
      <c r="E122" t="s">
        <v>95</v>
      </c>
      <c r="F122" t="s">
        <v>33</v>
      </c>
      <c r="G122" t="s">
        <v>99</v>
      </c>
      <c r="H122" t="s">
        <v>100</v>
      </c>
      <c r="I122" t="s">
        <v>101</v>
      </c>
    </row>
    <row r="123" spans="1:9" x14ac:dyDescent="0.25">
      <c r="A123" t="s">
        <v>94</v>
      </c>
      <c r="B123">
        <v>2023</v>
      </c>
      <c r="C123" t="s">
        <v>34</v>
      </c>
      <c r="D123">
        <v>756</v>
      </c>
      <c r="E123" t="s">
        <v>95</v>
      </c>
      <c r="F123" t="s">
        <v>35</v>
      </c>
      <c r="G123" t="s">
        <v>99</v>
      </c>
      <c r="H123" t="s">
        <v>100</v>
      </c>
      <c r="I123" t="s">
        <v>101</v>
      </c>
    </row>
    <row r="124" spans="1:9" x14ac:dyDescent="0.25">
      <c r="A124" t="s">
        <v>94</v>
      </c>
      <c r="B124">
        <v>2023</v>
      </c>
      <c r="C124" t="s">
        <v>36</v>
      </c>
      <c r="D124">
        <v>5308</v>
      </c>
      <c r="E124" t="s">
        <v>95</v>
      </c>
      <c r="F124" t="s">
        <v>73</v>
      </c>
      <c r="G124" t="s">
        <v>99</v>
      </c>
      <c r="H124" t="s">
        <v>100</v>
      </c>
      <c r="I124" t="s">
        <v>101</v>
      </c>
    </row>
    <row r="125" spans="1:9" x14ac:dyDescent="0.25">
      <c r="A125" t="s">
        <v>94</v>
      </c>
      <c r="B125">
        <v>2023</v>
      </c>
      <c r="C125" t="s">
        <v>38</v>
      </c>
      <c r="D125">
        <v>380</v>
      </c>
      <c r="E125" t="s">
        <v>95</v>
      </c>
      <c r="F125" t="s">
        <v>39</v>
      </c>
      <c r="G125" t="s">
        <v>99</v>
      </c>
      <c r="H125" t="s">
        <v>100</v>
      </c>
      <c r="I125" t="s">
        <v>101</v>
      </c>
    </row>
    <row r="126" spans="1:9" x14ac:dyDescent="0.25">
      <c r="A126" t="s">
        <v>94</v>
      </c>
      <c r="B126">
        <v>2023</v>
      </c>
      <c r="C126" t="s">
        <v>40</v>
      </c>
      <c r="D126">
        <v>6223</v>
      </c>
      <c r="E126" t="s">
        <v>95</v>
      </c>
      <c r="F126" t="s">
        <v>41</v>
      </c>
      <c r="G126" t="s">
        <v>99</v>
      </c>
      <c r="H126" t="s">
        <v>100</v>
      </c>
      <c r="I126" t="s">
        <v>101</v>
      </c>
    </row>
    <row r="127" spans="1:9" x14ac:dyDescent="0.25">
      <c r="A127" t="s">
        <v>94</v>
      </c>
      <c r="B127">
        <v>2023</v>
      </c>
      <c r="C127" t="s">
        <v>42</v>
      </c>
      <c r="D127">
        <v>6768</v>
      </c>
      <c r="E127" t="s">
        <v>95</v>
      </c>
      <c r="F127" t="s">
        <v>74</v>
      </c>
      <c r="G127" t="s">
        <v>99</v>
      </c>
      <c r="H127" t="s">
        <v>100</v>
      </c>
      <c r="I127" t="s">
        <v>101</v>
      </c>
    </row>
    <row r="128" spans="1:9" x14ac:dyDescent="0.25">
      <c r="A128" t="s">
        <v>94</v>
      </c>
      <c r="B128">
        <v>2023</v>
      </c>
      <c r="C128" t="s">
        <v>44</v>
      </c>
      <c r="D128">
        <v>1314</v>
      </c>
      <c r="E128" t="s">
        <v>95</v>
      </c>
      <c r="F128" t="s">
        <v>45</v>
      </c>
      <c r="G128" t="s">
        <v>99</v>
      </c>
      <c r="H128" t="s">
        <v>100</v>
      </c>
      <c r="I128" t="s">
        <v>101</v>
      </c>
    </row>
    <row r="129" spans="1:9" x14ac:dyDescent="0.25">
      <c r="A129" t="s">
        <v>94</v>
      </c>
      <c r="B129">
        <v>2023</v>
      </c>
      <c r="C129" t="s">
        <v>46</v>
      </c>
      <c r="D129">
        <v>1030</v>
      </c>
      <c r="E129" t="s">
        <v>95</v>
      </c>
      <c r="F129" t="s">
        <v>47</v>
      </c>
      <c r="G129" t="s">
        <v>99</v>
      </c>
      <c r="H129" t="s">
        <v>100</v>
      </c>
      <c r="I129" t="s">
        <v>101</v>
      </c>
    </row>
    <row r="130" spans="1:9" x14ac:dyDescent="0.25">
      <c r="A130" t="s">
        <v>94</v>
      </c>
      <c r="B130">
        <v>2023</v>
      </c>
      <c r="C130" t="s">
        <v>48</v>
      </c>
      <c r="D130">
        <v>2936</v>
      </c>
      <c r="E130" t="s">
        <v>95</v>
      </c>
      <c r="F130" t="s">
        <v>49</v>
      </c>
      <c r="G130" t="s">
        <v>99</v>
      </c>
      <c r="H130" t="s">
        <v>100</v>
      </c>
      <c r="I130" t="s">
        <v>101</v>
      </c>
    </row>
    <row r="131" spans="1:9" x14ac:dyDescent="0.25">
      <c r="A131" t="s">
        <v>94</v>
      </c>
      <c r="B131">
        <v>2023</v>
      </c>
      <c r="C131" t="s">
        <v>55</v>
      </c>
      <c r="D131">
        <v>18018</v>
      </c>
      <c r="E131" t="s">
        <v>95</v>
      </c>
      <c r="F131" t="s">
        <v>102</v>
      </c>
      <c r="G131" t="s">
        <v>96</v>
      </c>
      <c r="H131" t="s">
        <v>97</v>
      </c>
      <c r="I131" t="s">
        <v>98</v>
      </c>
    </row>
    <row r="132" spans="1:9" x14ac:dyDescent="0.25">
      <c r="A132" t="s">
        <v>94</v>
      </c>
      <c r="B132">
        <v>2023</v>
      </c>
      <c r="C132" t="s">
        <v>59</v>
      </c>
      <c r="D132">
        <v>-552</v>
      </c>
      <c r="E132" t="s">
        <v>95</v>
      </c>
      <c r="F132" t="s">
        <v>60</v>
      </c>
      <c r="G132" t="s">
        <v>96</v>
      </c>
      <c r="H132" t="s">
        <v>97</v>
      </c>
      <c r="I132" t="s">
        <v>98</v>
      </c>
    </row>
    <row r="133" spans="1:9" x14ac:dyDescent="0.25">
      <c r="A133" t="s">
        <v>94</v>
      </c>
      <c r="B133">
        <v>2023</v>
      </c>
      <c r="C133" t="s">
        <v>61</v>
      </c>
      <c r="D133">
        <v>12795</v>
      </c>
      <c r="E133" t="s">
        <v>95</v>
      </c>
      <c r="F133" t="s">
        <v>62</v>
      </c>
      <c r="G133" t="s">
        <v>99</v>
      </c>
      <c r="H133" t="s">
        <v>100</v>
      </c>
      <c r="I133" t="s">
        <v>101</v>
      </c>
    </row>
    <row r="134" spans="1:9" x14ac:dyDescent="0.25">
      <c r="A134" t="s">
        <v>94</v>
      </c>
      <c r="B134">
        <v>2023</v>
      </c>
      <c r="C134" t="s">
        <v>63</v>
      </c>
      <c r="D134">
        <v>4312.1459830000003</v>
      </c>
      <c r="E134" t="s">
        <v>95</v>
      </c>
      <c r="F134" t="s">
        <v>64</v>
      </c>
      <c r="G134" t="s">
        <v>103</v>
      </c>
      <c r="H134" t="s">
        <v>104</v>
      </c>
      <c r="I134" t="s">
        <v>105</v>
      </c>
    </row>
    <row r="135" spans="1:9" x14ac:dyDescent="0.25">
      <c r="A135" t="s">
        <v>94</v>
      </c>
      <c r="B135">
        <v>2024</v>
      </c>
      <c r="C135" t="s">
        <v>24</v>
      </c>
      <c r="D135">
        <v>31376</v>
      </c>
      <c r="E135" t="s">
        <v>95</v>
      </c>
      <c r="F135" t="s">
        <v>69</v>
      </c>
      <c r="G135" t="s">
        <v>99</v>
      </c>
      <c r="H135" t="s">
        <v>100</v>
      </c>
      <c r="I135" t="s">
        <v>101</v>
      </c>
    </row>
    <row r="136" spans="1:9" x14ac:dyDescent="0.25">
      <c r="A136" t="s">
        <v>94</v>
      </c>
      <c r="B136">
        <v>2024</v>
      </c>
      <c r="C136" t="s">
        <v>30</v>
      </c>
      <c r="D136">
        <v>4021</v>
      </c>
      <c r="E136" t="s">
        <v>95</v>
      </c>
      <c r="F136" t="s">
        <v>31</v>
      </c>
      <c r="G136" t="s">
        <v>99</v>
      </c>
      <c r="H136" t="s">
        <v>100</v>
      </c>
      <c r="I136" t="s">
        <v>101</v>
      </c>
    </row>
    <row r="137" spans="1:9" x14ac:dyDescent="0.25">
      <c r="A137" t="s">
        <v>94</v>
      </c>
      <c r="B137">
        <v>2024</v>
      </c>
      <c r="C137" t="s">
        <v>32</v>
      </c>
      <c r="D137">
        <v>3477</v>
      </c>
      <c r="E137" t="s">
        <v>95</v>
      </c>
      <c r="F137" t="s">
        <v>33</v>
      </c>
      <c r="G137" t="s">
        <v>99</v>
      </c>
      <c r="H137" t="s">
        <v>100</v>
      </c>
      <c r="I137" t="s">
        <v>101</v>
      </c>
    </row>
    <row r="138" spans="1:9" x14ac:dyDescent="0.25">
      <c r="A138" t="s">
        <v>94</v>
      </c>
      <c r="B138">
        <v>2024</v>
      </c>
      <c r="C138" t="s">
        <v>34</v>
      </c>
      <c r="D138">
        <v>526</v>
      </c>
      <c r="E138" t="s">
        <v>95</v>
      </c>
      <c r="F138" t="s">
        <v>35</v>
      </c>
      <c r="G138" t="s">
        <v>99</v>
      </c>
      <c r="H138" t="s">
        <v>100</v>
      </c>
      <c r="I138" t="s">
        <v>101</v>
      </c>
    </row>
    <row r="139" spans="1:9" x14ac:dyDescent="0.25">
      <c r="A139" t="s">
        <v>94</v>
      </c>
      <c r="B139">
        <v>2024</v>
      </c>
      <c r="C139" t="s">
        <v>36</v>
      </c>
      <c r="D139">
        <v>2951</v>
      </c>
      <c r="E139" t="s">
        <v>95</v>
      </c>
      <c r="F139" t="s">
        <v>73</v>
      </c>
      <c r="G139" t="s">
        <v>99</v>
      </c>
      <c r="H139" t="s">
        <v>100</v>
      </c>
      <c r="I139" t="s">
        <v>101</v>
      </c>
    </row>
    <row r="140" spans="1:9" x14ac:dyDescent="0.25">
      <c r="A140" t="s">
        <v>94</v>
      </c>
      <c r="B140">
        <v>2024</v>
      </c>
      <c r="C140" t="s">
        <v>38</v>
      </c>
      <c r="D140">
        <v>376</v>
      </c>
      <c r="E140" t="s">
        <v>95</v>
      </c>
      <c r="F140" t="s">
        <v>39</v>
      </c>
      <c r="G140" t="s">
        <v>99</v>
      </c>
      <c r="H140" t="s">
        <v>100</v>
      </c>
      <c r="I140" t="s">
        <v>101</v>
      </c>
    </row>
    <row r="141" spans="1:9" x14ac:dyDescent="0.25">
      <c r="A141" t="s">
        <v>94</v>
      </c>
      <c r="B141">
        <v>2024</v>
      </c>
      <c r="C141" t="s">
        <v>40</v>
      </c>
      <c r="D141">
        <v>6401</v>
      </c>
      <c r="E141" t="s">
        <v>95</v>
      </c>
      <c r="F141" t="s">
        <v>41</v>
      </c>
      <c r="G141" t="s">
        <v>99</v>
      </c>
      <c r="H141" t="s">
        <v>100</v>
      </c>
      <c r="I141" t="s">
        <v>101</v>
      </c>
    </row>
    <row r="142" spans="1:9" x14ac:dyDescent="0.25">
      <c r="A142" t="s">
        <v>94</v>
      </c>
      <c r="B142">
        <v>2024</v>
      </c>
      <c r="C142" t="s">
        <v>42</v>
      </c>
      <c r="D142">
        <v>6554</v>
      </c>
      <c r="E142" t="s">
        <v>95</v>
      </c>
      <c r="F142" t="s">
        <v>74</v>
      </c>
      <c r="G142" t="s">
        <v>99</v>
      </c>
      <c r="H142" t="s">
        <v>100</v>
      </c>
      <c r="I142" t="s">
        <v>101</v>
      </c>
    </row>
    <row r="143" spans="1:9" x14ac:dyDescent="0.25">
      <c r="A143" t="s">
        <v>94</v>
      </c>
      <c r="B143">
        <v>2024</v>
      </c>
      <c r="C143" t="s">
        <v>44</v>
      </c>
      <c r="D143">
        <v>1399</v>
      </c>
      <c r="E143" t="s">
        <v>95</v>
      </c>
      <c r="F143" t="s">
        <v>45</v>
      </c>
      <c r="G143" t="s">
        <v>99</v>
      </c>
      <c r="H143" t="s">
        <v>100</v>
      </c>
      <c r="I143" t="s">
        <v>101</v>
      </c>
    </row>
    <row r="144" spans="1:9" x14ac:dyDescent="0.25">
      <c r="A144" t="s">
        <v>94</v>
      </c>
      <c r="B144">
        <v>2024</v>
      </c>
      <c r="C144" t="s">
        <v>46</v>
      </c>
      <c r="D144">
        <v>1583</v>
      </c>
      <c r="E144" t="s">
        <v>95</v>
      </c>
      <c r="F144" t="s">
        <v>47</v>
      </c>
      <c r="G144" t="s">
        <v>99</v>
      </c>
      <c r="H144" t="s">
        <v>100</v>
      </c>
      <c r="I144" t="s">
        <v>101</v>
      </c>
    </row>
    <row r="145" spans="1:9" x14ac:dyDescent="0.25">
      <c r="A145" t="s">
        <v>94</v>
      </c>
      <c r="B145">
        <v>2024</v>
      </c>
      <c r="C145" t="s">
        <v>48</v>
      </c>
      <c r="D145">
        <v>3870</v>
      </c>
      <c r="E145" t="s">
        <v>95</v>
      </c>
      <c r="F145" t="s">
        <v>49</v>
      </c>
      <c r="G145" t="s">
        <v>99</v>
      </c>
      <c r="H145" t="s">
        <v>100</v>
      </c>
      <c r="I145" t="s">
        <v>101</v>
      </c>
    </row>
    <row r="146" spans="1:9" x14ac:dyDescent="0.25">
      <c r="A146" t="s">
        <v>94</v>
      </c>
      <c r="B146">
        <v>2024</v>
      </c>
      <c r="C146" t="s">
        <v>55</v>
      </c>
      <c r="D146">
        <v>16986</v>
      </c>
      <c r="E146" t="s">
        <v>95</v>
      </c>
      <c r="F146" t="s">
        <v>102</v>
      </c>
      <c r="G146" t="s">
        <v>99</v>
      </c>
      <c r="H146" t="s">
        <v>100</v>
      </c>
      <c r="I146" t="s">
        <v>101</v>
      </c>
    </row>
    <row r="147" spans="1:9" x14ac:dyDescent="0.25">
      <c r="A147" t="s">
        <v>94</v>
      </c>
      <c r="B147">
        <v>2024</v>
      </c>
      <c r="C147" t="s">
        <v>59</v>
      </c>
      <c r="D147">
        <v>-585</v>
      </c>
      <c r="E147" t="s">
        <v>95</v>
      </c>
      <c r="F147" t="s">
        <v>60</v>
      </c>
      <c r="G147" t="s">
        <v>99</v>
      </c>
      <c r="H147" t="s">
        <v>100</v>
      </c>
      <c r="I147" t="s">
        <v>101</v>
      </c>
    </row>
    <row r="148" spans="1:9" x14ac:dyDescent="0.25">
      <c r="A148" t="s">
        <v>94</v>
      </c>
      <c r="B148">
        <v>2024</v>
      </c>
      <c r="C148" t="s">
        <v>61</v>
      </c>
      <c r="D148">
        <v>13086</v>
      </c>
      <c r="E148" t="s">
        <v>95</v>
      </c>
      <c r="F148" t="s">
        <v>62</v>
      </c>
      <c r="G148" t="s">
        <v>99</v>
      </c>
      <c r="H148" t="s">
        <v>100</v>
      </c>
      <c r="I148" t="s">
        <v>101</v>
      </c>
    </row>
    <row r="149" spans="1:9" x14ac:dyDescent="0.25">
      <c r="A149" t="s">
        <v>94</v>
      </c>
      <c r="B149">
        <v>2024</v>
      </c>
      <c r="C149" t="s">
        <v>63</v>
      </c>
      <c r="D149">
        <v>4314.3037340000001</v>
      </c>
      <c r="E149" t="s">
        <v>95</v>
      </c>
      <c r="F149" t="s">
        <v>64</v>
      </c>
      <c r="G149" t="s">
        <v>96</v>
      </c>
      <c r="H149" t="s">
        <v>97</v>
      </c>
      <c r="I149" t="s">
        <v>98</v>
      </c>
    </row>
    <row r="150" spans="1:9" x14ac:dyDescent="0.25">
      <c r="A150" t="s">
        <v>94</v>
      </c>
      <c r="B150">
        <v>2025</v>
      </c>
      <c r="C150" t="s">
        <v>24</v>
      </c>
      <c r="D150">
        <v>32667</v>
      </c>
      <c r="E150" t="s">
        <v>95</v>
      </c>
      <c r="F150" t="s">
        <v>69</v>
      </c>
      <c r="G150" t="s">
        <v>99</v>
      </c>
      <c r="H150" t="s">
        <v>100</v>
      </c>
      <c r="I150" t="s">
        <v>101</v>
      </c>
    </row>
    <row r="151" spans="1:9" x14ac:dyDescent="0.25">
      <c r="A151" t="s">
        <v>94</v>
      </c>
      <c r="B151">
        <v>2025</v>
      </c>
      <c r="C151" t="s">
        <v>30</v>
      </c>
      <c r="D151">
        <v>7932</v>
      </c>
      <c r="E151" t="s">
        <v>95</v>
      </c>
      <c r="F151" t="s">
        <v>31</v>
      </c>
      <c r="G151" t="s">
        <v>99</v>
      </c>
      <c r="H151" t="s">
        <v>100</v>
      </c>
      <c r="I151" t="s">
        <v>101</v>
      </c>
    </row>
    <row r="152" spans="1:9" x14ac:dyDescent="0.25">
      <c r="A152" t="s">
        <v>94</v>
      </c>
      <c r="B152">
        <v>2025</v>
      </c>
      <c r="C152" t="s">
        <v>32</v>
      </c>
      <c r="D152">
        <v>7401</v>
      </c>
      <c r="E152" t="s">
        <v>95</v>
      </c>
      <c r="F152" t="s">
        <v>33</v>
      </c>
      <c r="G152" t="s">
        <v>99</v>
      </c>
      <c r="H152" t="s">
        <v>100</v>
      </c>
      <c r="I152" t="s">
        <v>101</v>
      </c>
    </row>
    <row r="153" spans="1:9" x14ac:dyDescent="0.25">
      <c r="A153" t="s">
        <v>94</v>
      </c>
      <c r="B153">
        <v>2025</v>
      </c>
      <c r="C153" t="s">
        <v>34</v>
      </c>
      <c r="D153">
        <v>1112</v>
      </c>
      <c r="E153" t="s">
        <v>95</v>
      </c>
      <c r="F153" t="s">
        <v>35</v>
      </c>
      <c r="G153" t="s">
        <v>99</v>
      </c>
      <c r="H153" t="s">
        <v>100</v>
      </c>
      <c r="I153" t="s">
        <v>101</v>
      </c>
    </row>
    <row r="154" spans="1:9" x14ac:dyDescent="0.25">
      <c r="A154" t="s">
        <v>94</v>
      </c>
      <c r="B154">
        <v>2025</v>
      </c>
      <c r="C154" t="s">
        <v>36</v>
      </c>
      <c r="D154">
        <v>6289</v>
      </c>
      <c r="E154" t="s">
        <v>95</v>
      </c>
      <c r="F154" t="s">
        <v>73</v>
      </c>
      <c r="G154" t="s">
        <v>99</v>
      </c>
      <c r="H154" t="s">
        <v>100</v>
      </c>
      <c r="I154" t="s">
        <v>101</v>
      </c>
    </row>
    <row r="155" spans="1:9" x14ac:dyDescent="0.25">
      <c r="A155" t="s">
        <v>94</v>
      </c>
      <c r="B155">
        <v>2025</v>
      </c>
      <c r="C155" t="s">
        <v>38</v>
      </c>
      <c r="D155">
        <v>573</v>
      </c>
      <c r="E155" t="s">
        <v>95</v>
      </c>
      <c r="F155" t="s">
        <v>39</v>
      </c>
      <c r="G155" t="s">
        <v>99</v>
      </c>
      <c r="H155" t="s">
        <v>100</v>
      </c>
      <c r="I155" t="s">
        <v>101</v>
      </c>
    </row>
    <row r="156" spans="1:9" x14ac:dyDescent="0.25">
      <c r="A156" t="s">
        <v>94</v>
      </c>
      <c r="B156">
        <v>2025</v>
      </c>
      <c r="C156" t="s">
        <v>40</v>
      </c>
      <c r="D156">
        <v>7525</v>
      </c>
      <c r="E156" t="s">
        <v>95</v>
      </c>
      <c r="F156" t="s">
        <v>41</v>
      </c>
      <c r="G156" t="s">
        <v>99</v>
      </c>
      <c r="H156" t="s">
        <v>100</v>
      </c>
      <c r="I156" t="s">
        <v>101</v>
      </c>
    </row>
    <row r="157" spans="1:9" x14ac:dyDescent="0.25">
      <c r="A157" t="s">
        <v>94</v>
      </c>
      <c r="B157">
        <v>2025</v>
      </c>
      <c r="C157" t="s">
        <v>42</v>
      </c>
      <c r="D157">
        <v>7741</v>
      </c>
      <c r="E157" t="s">
        <v>95</v>
      </c>
      <c r="F157" t="s">
        <v>74</v>
      </c>
      <c r="G157" t="s">
        <v>99</v>
      </c>
      <c r="H157" t="s">
        <v>100</v>
      </c>
      <c r="I157" t="s">
        <v>101</v>
      </c>
    </row>
    <row r="158" spans="1:9" x14ac:dyDescent="0.25">
      <c r="A158" t="s">
        <v>94</v>
      </c>
      <c r="B158">
        <v>2025</v>
      </c>
      <c r="C158" t="s">
        <v>44</v>
      </c>
      <c r="D158">
        <v>1348</v>
      </c>
      <c r="E158" t="s">
        <v>95</v>
      </c>
      <c r="F158" t="s">
        <v>45</v>
      </c>
      <c r="G158" t="s">
        <v>99</v>
      </c>
      <c r="H158" t="s">
        <v>100</v>
      </c>
      <c r="I158" t="s">
        <v>101</v>
      </c>
    </row>
    <row r="159" spans="1:9" x14ac:dyDescent="0.25">
      <c r="A159" t="s">
        <v>94</v>
      </c>
      <c r="B159">
        <v>2025</v>
      </c>
      <c r="C159" t="s">
        <v>46</v>
      </c>
      <c r="D159">
        <v>1637</v>
      </c>
      <c r="E159" t="s">
        <v>95</v>
      </c>
      <c r="F159" t="s">
        <v>47</v>
      </c>
      <c r="G159" t="s">
        <v>99</v>
      </c>
      <c r="H159" t="s">
        <v>100</v>
      </c>
      <c r="I159" t="s">
        <v>101</v>
      </c>
    </row>
    <row r="160" spans="1:9" x14ac:dyDescent="0.25">
      <c r="A160" t="s">
        <v>94</v>
      </c>
      <c r="B160">
        <v>2025</v>
      </c>
      <c r="C160" t="s">
        <v>48</v>
      </c>
      <c r="D160">
        <v>3397</v>
      </c>
      <c r="E160" t="s">
        <v>95</v>
      </c>
      <c r="F160" t="s">
        <v>49</v>
      </c>
      <c r="G160" t="s">
        <v>99</v>
      </c>
      <c r="H160" t="s">
        <v>100</v>
      </c>
      <c r="I160" t="s">
        <v>101</v>
      </c>
    </row>
    <row r="161" spans="1:9" x14ac:dyDescent="0.25">
      <c r="A161" t="s">
        <v>94</v>
      </c>
      <c r="B161">
        <v>2025</v>
      </c>
      <c r="C161" t="s">
        <v>55</v>
      </c>
      <c r="D161">
        <v>17720</v>
      </c>
      <c r="E161" t="s">
        <v>95</v>
      </c>
      <c r="F161" t="s">
        <v>102</v>
      </c>
      <c r="G161" t="s">
        <v>99</v>
      </c>
      <c r="H161" t="s">
        <v>100</v>
      </c>
      <c r="I161" t="s">
        <v>101</v>
      </c>
    </row>
    <row r="162" spans="1:9" x14ac:dyDescent="0.25">
      <c r="A162" t="s">
        <v>94</v>
      </c>
      <c r="B162">
        <v>2025</v>
      </c>
      <c r="C162" t="s">
        <v>59</v>
      </c>
      <c r="D162">
        <v>-421</v>
      </c>
      <c r="E162" t="s">
        <v>95</v>
      </c>
      <c r="F162" t="s">
        <v>60</v>
      </c>
      <c r="G162" t="s">
        <v>99</v>
      </c>
      <c r="H162" t="s">
        <v>100</v>
      </c>
      <c r="I162" t="s">
        <v>101</v>
      </c>
    </row>
    <row r="163" spans="1:9" x14ac:dyDescent="0.25">
      <c r="A163" t="s">
        <v>94</v>
      </c>
      <c r="B163">
        <v>2025</v>
      </c>
      <c r="C163" t="s">
        <v>61</v>
      </c>
      <c r="D163">
        <v>15956</v>
      </c>
      <c r="E163" t="s">
        <v>95</v>
      </c>
      <c r="F163" t="s">
        <v>62</v>
      </c>
      <c r="G163" t="s">
        <v>99</v>
      </c>
      <c r="H163" t="s">
        <v>100</v>
      </c>
      <c r="I163" t="s">
        <v>101</v>
      </c>
    </row>
    <row r="164" spans="1:9" x14ac:dyDescent="0.25">
      <c r="A164" t="s">
        <v>94</v>
      </c>
      <c r="B164">
        <v>2025</v>
      </c>
      <c r="C164" t="s">
        <v>63</v>
      </c>
      <c r="D164">
        <v>4315.4450260000003</v>
      </c>
      <c r="E164" t="s">
        <v>95</v>
      </c>
      <c r="F164" t="s">
        <v>64</v>
      </c>
      <c r="G164" t="s">
        <v>99</v>
      </c>
      <c r="H164" t="s">
        <v>100</v>
      </c>
      <c r="I164" t="s">
        <v>101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workbookViewId="0"/>
  </sheetViews>
  <sheetFormatPr defaultRowHeight="15" x14ac:dyDescent="0.25"/>
  <cols>
    <col min="1" max="7" width="24" customWidth="1"/>
    <col min="8" max="8" width="90" customWidth="1"/>
  </cols>
  <sheetData>
    <row r="1" spans="1:8" x14ac:dyDescent="0.25">
      <c r="A1" s="3" t="s">
        <v>15</v>
      </c>
      <c r="B1" s="3" t="s">
        <v>106</v>
      </c>
      <c r="C1" s="3" t="s">
        <v>107</v>
      </c>
      <c r="D1" s="3" t="s">
        <v>108</v>
      </c>
      <c r="E1" s="3" t="s">
        <v>109</v>
      </c>
      <c r="F1" s="3" t="s">
        <v>110</v>
      </c>
      <c r="G1" s="3" t="s">
        <v>111</v>
      </c>
      <c r="H1" s="3" t="s">
        <v>112</v>
      </c>
    </row>
    <row r="2" spans="1:8" x14ac:dyDescent="0.25">
      <c r="A2">
        <v>2023</v>
      </c>
      <c r="B2">
        <v>1.0812686274509999</v>
      </c>
      <c r="C2">
        <v>1.105</v>
      </c>
      <c r="D2">
        <v>0.86978650980390004</v>
      </c>
      <c r="E2">
        <v>0.86904999999999999</v>
      </c>
      <c r="F2">
        <f t="shared" ref="F2:G4" si="0">B2/D2</f>
        <v>1.2431425588501943</v>
      </c>
      <c r="G2">
        <f t="shared" si="0"/>
        <v>1.2715033657442034</v>
      </c>
      <c r="H2" t="s">
        <v>113</v>
      </c>
    </row>
    <row r="3" spans="1:8" x14ac:dyDescent="0.25">
      <c r="A3">
        <v>2024</v>
      </c>
      <c r="B3">
        <v>1.08238046875</v>
      </c>
      <c r="C3">
        <v>1.0388999999999999</v>
      </c>
      <c r="D3">
        <v>0.84661660156249996</v>
      </c>
      <c r="E3">
        <v>0.82918000000000003</v>
      </c>
      <c r="F3">
        <f t="shared" si="0"/>
        <v>1.2784777274062176</v>
      </c>
      <c r="G3">
        <f t="shared" si="0"/>
        <v>1.2529245760872185</v>
      </c>
    </row>
    <row r="4" spans="1:8" x14ac:dyDescent="0.25">
      <c r="A4">
        <v>2025</v>
      </c>
      <c r="B4">
        <v>1.1299831372549001</v>
      </c>
      <c r="C4">
        <v>1.175</v>
      </c>
      <c r="D4">
        <v>0.85679231372550002</v>
      </c>
      <c r="E4">
        <v>0.87260000000000004</v>
      </c>
      <c r="F4">
        <f t="shared" si="0"/>
        <v>1.3188530279193484</v>
      </c>
      <c r="G4">
        <f t="shared" si="0"/>
        <v>1.3465505386202155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
  <sheetViews>
    <sheetView workbookViewId="0">
      <pane xSplit="3" ySplit="1" topLeftCell="D2" activePane="bottomRight" state="frozen"/>
      <selection pane="topRight"/>
      <selection pane="bottomLeft"/>
      <selection pane="bottomRight"/>
    </sheetView>
  </sheetViews>
  <sheetFormatPr defaultRowHeight="15" x14ac:dyDescent="0.25"/>
  <cols>
    <col min="1" max="20" width="15" customWidth="1"/>
  </cols>
  <sheetData>
    <row r="1" spans="1:20" ht="45" x14ac:dyDescent="0.25">
      <c r="A1" s="4" t="s">
        <v>14</v>
      </c>
      <c r="B1" s="4" t="s">
        <v>15</v>
      </c>
      <c r="C1" s="4" t="s">
        <v>18</v>
      </c>
      <c r="D1" s="4" t="s">
        <v>69</v>
      </c>
      <c r="E1" s="4" t="s">
        <v>114</v>
      </c>
      <c r="F1" s="4" t="s">
        <v>115</v>
      </c>
      <c r="G1" s="4" t="s">
        <v>116</v>
      </c>
      <c r="H1" s="4" t="s">
        <v>117</v>
      </c>
      <c r="I1" s="4" t="s">
        <v>118</v>
      </c>
      <c r="J1" s="4" t="s">
        <v>119</v>
      </c>
      <c r="K1" s="4" t="s">
        <v>120</v>
      </c>
      <c r="L1" s="4" t="s">
        <v>121</v>
      </c>
      <c r="M1" s="4" t="s">
        <v>122</v>
      </c>
      <c r="N1" s="4" t="s">
        <v>123</v>
      </c>
      <c r="O1" s="4" t="s">
        <v>124</v>
      </c>
      <c r="P1" s="4" t="s">
        <v>125</v>
      </c>
      <c r="Q1" s="4" t="s">
        <v>126</v>
      </c>
      <c r="R1" s="4" t="s">
        <v>127</v>
      </c>
      <c r="S1" s="4" t="s">
        <v>128</v>
      </c>
      <c r="T1" s="4" t="s">
        <v>129</v>
      </c>
    </row>
    <row r="2" spans="1:20" x14ac:dyDescent="0.25">
      <c r="A2" t="s">
        <v>23</v>
      </c>
      <c r="B2">
        <v>2023</v>
      </c>
      <c r="C2" t="s">
        <v>25</v>
      </c>
      <c r="D2" s="5">
        <f>SUMIFS(Dataset!$D:$D,Dataset!$A:$A,$A2,Dataset!$B:$B,$B2,Dataset!$C:$C,"revenue")</f>
        <v>46660</v>
      </c>
      <c r="E2" s="5">
        <f>SUMIFS(Dataset!$D:$D,Dataset!$A:$A,$A2,Dataset!$B:$B,$B2,Dataset!$C:$C,"operating_profit")</f>
        <v>9769</v>
      </c>
      <c r="F2" s="6">
        <f t="shared" ref="F2:F10" si="0">E2/D2</f>
        <v>0.20936562366052294</v>
      </c>
      <c r="G2" s="5">
        <f>SUMIFS(Dataset!$D:$D,Dataset!$A:$A,$A2,Dataset!$B:$B,$B2,Dataset!$C:$C,"profit_continuing")</f>
        <v>8572</v>
      </c>
      <c r="H2" s="6">
        <f t="shared" ref="H2:H10" si="1">G2/D2</f>
        <v>0.18371195885126446</v>
      </c>
      <c r="I2" s="5">
        <f>SUMIFS(Dataset!$D:$D,Dataset!$A:$A,$A2,Dataset!$B:$B,$B2,Dataset!$C:$C,"rnd")</f>
        <v>11371</v>
      </c>
      <c r="J2" s="6">
        <f t="shared" ref="J2:J10" si="2">I2/D2</f>
        <v>0.2436990998714102</v>
      </c>
      <c r="K2" s="5">
        <f>SUMIFS(Dataset!$D:$D,Dataset!$A:$A,$A2,Dataset!$B:$B,$B2,Dataset!$C:$C,"cfo")</f>
        <v>14220</v>
      </c>
      <c r="L2" s="5">
        <f>SUMIFS(Dataset!$D:$D,Dataset!$A:$A,$A2,Dataset!$B:$B,$B2,Dataset!$C:$C,"capex_ppe")</f>
        <v>1060</v>
      </c>
      <c r="M2" s="5">
        <f>SUMIFS(Dataset!$D:$D,Dataset!$A:$A,$A2,Dataset!$B:$B,$B2,Dataset!$C:$C,"capex_intangibles")</f>
        <v>1693</v>
      </c>
      <c r="N2" s="5">
        <f t="shared" ref="N2:N10" si="3">K2-L2</f>
        <v>13160</v>
      </c>
      <c r="O2" s="5">
        <f t="shared" ref="O2:O10" si="4">K2-L2-M2</f>
        <v>11467</v>
      </c>
      <c r="P2" s="5">
        <f>SUMIFS(Dataset!$D:$D,Dataset!$A:$A,$A2,Dataset!$B:$B,$B2,Dataset!$C:$C,"cash")</f>
        <v>13393</v>
      </c>
      <c r="Q2" s="5">
        <f>IF(SUMIFS(Dataset!$D:$D,Dataset!$A:$A,$A2,Dataset!$B:$B,$B2,Dataset!$C:$C,"borrowings_incl_leases")&lt;&gt;0,SUMIFS(Dataset!$D:$D,Dataset!$A:$A,$A2,Dataset!$B:$B,$B2,Dataset!$C:$C,"borrowings_incl_leases"),SUMIFS(Dataset!$D:$D,Dataset!$A:$A,$A2,Dataset!$B:$B,$B2,Dataset!$C:$C,"debt_financial")+SUMIFS(Dataset!$D:$D,Dataset!$A:$A,$A2,Dataset!$B:$B,$B2,Dataset!$C:$C,"lease_liabilities"))</f>
        <v>26439</v>
      </c>
      <c r="R2" s="5">
        <f>Q2-P2-SUMIFS(Dataset!$D:$D,Dataset!$A:$A,$A2,Dataset!$B:$B,$B2,Dataset!$C:$C,"liquid_investments")</f>
        <v>12011</v>
      </c>
      <c r="S2" s="5">
        <f>D2*IF(C2="GBP",INDEX(FX!$F$2:$F$4,MATCH(B2,FX!$A$2:$A$4,0)),1)</f>
        <v>46660</v>
      </c>
      <c r="T2" s="5">
        <f>O2*IF(C2="GBP",INDEX(FX!$F$2:$F$4,MATCH(B2,FX!$A$2:$A$4,0)),1)</f>
        <v>11467</v>
      </c>
    </row>
    <row r="3" spans="1:20" x14ac:dyDescent="0.25">
      <c r="A3" t="s">
        <v>23</v>
      </c>
      <c r="B3">
        <v>2024</v>
      </c>
      <c r="C3" t="s">
        <v>25</v>
      </c>
      <c r="D3" s="5">
        <f>SUMIFS(Dataset!$D:$D,Dataset!$A:$A,$A3,Dataset!$B:$B,$B3,Dataset!$C:$C,"revenue")</f>
        <v>51722</v>
      </c>
      <c r="E3" s="5">
        <f>SUMIFS(Dataset!$D:$D,Dataset!$A:$A,$A3,Dataset!$B:$B,$B3,Dataset!$C:$C,"operating_profit")</f>
        <v>14544</v>
      </c>
      <c r="F3" s="6">
        <f t="shared" si="0"/>
        <v>0.28119562275240712</v>
      </c>
      <c r="G3" s="5">
        <f>SUMIFS(Dataset!$D:$D,Dataset!$A:$A,$A3,Dataset!$B:$B,$B3,Dataset!$C:$C,"profit_continuing")</f>
        <v>11939</v>
      </c>
      <c r="H3" s="6">
        <f t="shared" si="1"/>
        <v>0.23083020764858281</v>
      </c>
      <c r="I3" s="5">
        <f>SUMIFS(Dataset!$D:$D,Dataset!$A:$A,$A3,Dataset!$B:$B,$B3,Dataset!$C:$C,"rnd")</f>
        <v>10022</v>
      </c>
      <c r="J3" s="6">
        <f t="shared" si="2"/>
        <v>0.19376667568926181</v>
      </c>
      <c r="K3" s="5">
        <f>SUMIFS(Dataset!$D:$D,Dataset!$A:$A,$A3,Dataset!$B:$B,$B3,Dataset!$C:$C,"cfo")</f>
        <v>17619</v>
      </c>
      <c r="L3" s="5">
        <f>SUMIFS(Dataset!$D:$D,Dataset!$A:$A,$A3,Dataset!$B:$B,$B3,Dataset!$C:$C,"capex_ppe")</f>
        <v>1366</v>
      </c>
      <c r="M3" s="5">
        <f>SUMIFS(Dataset!$D:$D,Dataset!$A:$A,$A3,Dataset!$B:$B,$B3,Dataset!$C:$C,"capex_intangibles")</f>
        <v>2448</v>
      </c>
      <c r="N3" s="5">
        <f t="shared" si="3"/>
        <v>16253</v>
      </c>
      <c r="O3" s="5">
        <f t="shared" si="4"/>
        <v>13805</v>
      </c>
      <c r="P3" s="5">
        <f>SUMIFS(Dataset!$D:$D,Dataset!$A:$A,$A3,Dataset!$B:$B,$B3,Dataset!$C:$C,"cash")</f>
        <v>11459</v>
      </c>
      <c r="Q3" s="5">
        <f>IF(SUMIFS(Dataset!$D:$D,Dataset!$A:$A,$A3,Dataset!$B:$B,$B3,Dataset!$C:$C,"borrowings_incl_leases")&lt;&gt;0,SUMIFS(Dataset!$D:$D,Dataset!$A:$A,$A3,Dataset!$B:$B,$B3,Dataset!$C:$C,"borrowings_incl_leases"),SUMIFS(Dataset!$D:$D,Dataset!$A:$A,$A3,Dataset!$B:$B,$B3,Dataset!$C:$C,"debt_financial")+SUMIFS(Dataset!$D:$D,Dataset!$A:$A,$A3,Dataset!$B:$B,$B3,Dataset!$C:$C,"lease_liabilities"))</f>
        <v>31401</v>
      </c>
      <c r="R3" s="5">
        <f>Q3-P3-SUMIFS(Dataset!$D:$D,Dataset!$A:$A,$A3,Dataset!$B:$B,$B3,Dataset!$C:$C,"liquid_investments")</f>
        <v>17944</v>
      </c>
      <c r="S3" s="5">
        <f>D3*IF(C3="GBP",INDEX(FX!$F$2:$F$4,MATCH(B3,FX!$A$2:$A$4,0)),1)</f>
        <v>51722</v>
      </c>
      <c r="T3" s="5">
        <f>O3*IF(C3="GBP",INDEX(FX!$F$2:$F$4,MATCH(B3,FX!$A$2:$A$4,0)),1)</f>
        <v>13805</v>
      </c>
    </row>
    <row r="4" spans="1:20" x14ac:dyDescent="0.25">
      <c r="A4" t="s">
        <v>23</v>
      </c>
      <c r="B4">
        <v>2025</v>
      </c>
      <c r="C4" t="s">
        <v>25</v>
      </c>
      <c r="D4" s="5">
        <f>SUMIFS(Dataset!$D:$D,Dataset!$A:$A,$A4,Dataset!$B:$B,$B4,Dataset!$C:$C,"revenue")</f>
        <v>56674</v>
      </c>
      <c r="E4" s="5">
        <f>SUMIFS(Dataset!$D:$D,Dataset!$A:$A,$A4,Dataset!$B:$B,$B4,Dataset!$C:$C,"operating_profit")</f>
        <v>17644</v>
      </c>
      <c r="F4" s="6">
        <f t="shared" si="0"/>
        <v>0.31132441684017365</v>
      </c>
      <c r="G4" s="5">
        <f>SUMIFS(Dataset!$D:$D,Dataset!$A:$A,$A4,Dataset!$B:$B,$B4,Dataset!$C:$C,"profit_continuing")</f>
        <v>13967</v>
      </c>
      <c r="H4" s="6">
        <f t="shared" si="1"/>
        <v>0.24644457776052511</v>
      </c>
      <c r="I4" s="5">
        <f>SUMIFS(Dataset!$D:$D,Dataset!$A:$A,$A4,Dataset!$B:$B,$B4,Dataset!$C:$C,"rnd")</f>
        <v>11200</v>
      </c>
      <c r="J4" s="6">
        <f t="shared" si="2"/>
        <v>0.19762148427850512</v>
      </c>
      <c r="K4" s="5">
        <f>SUMIFS(Dataset!$D:$D,Dataset!$A:$A,$A4,Dataset!$B:$B,$B4,Dataset!$C:$C,"cfo")</f>
        <v>19144</v>
      </c>
      <c r="L4" s="5">
        <f>SUMIFS(Dataset!$D:$D,Dataset!$A:$A,$A4,Dataset!$B:$B,$B4,Dataset!$C:$C,"capex_ppe")</f>
        <v>1548</v>
      </c>
      <c r="M4" s="5">
        <f>SUMIFS(Dataset!$D:$D,Dataset!$A:$A,$A4,Dataset!$B:$B,$B4,Dataset!$C:$C,"capex_intangibles")</f>
        <v>2352</v>
      </c>
      <c r="N4" s="5">
        <f t="shared" si="3"/>
        <v>17596</v>
      </c>
      <c r="O4" s="5">
        <f t="shared" si="4"/>
        <v>15244</v>
      </c>
      <c r="P4" s="5">
        <f>SUMIFS(Dataset!$D:$D,Dataset!$A:$A,$A4,Dataset!$B:$B,$B4,Dataset!$C:$C,"cash")</f>
        <v>11435</v>
      </c>
      <c r="Q4" s="5">
        <f>IF(SUMIFS(Dataset!$D:$D,Dataset!$A:$A,$A4,Dataset!$B:$B,$B4,Dataset!$C:$C,"borrowings_incl_leases")&lt;&gt;0,SUMIFS(Dataset!$D:$D,Dataset!$A:$A,$A4,Dataset!$B:$B,$B4,Dataset!$C:$C,"borrowings_incl_leases"),SUMIFS(Dataset!$D:$D,Dataset!$A:$A,$A4,Dataset!$B:$B,$B4,Dataset!$C:$C,"debt_financial")+SUMIFS(Dataset!$D:$D,Dataset!$A:$A,$A4,Dataset!$B:$B,$B4,Dataset!$C:$C,"lease_liabilities"))</f>
        <v>35457</v>
      </c>
      <c r="R4" s="5">
        <f>Q4-P4-SUMIFS(Dataset!$D:$D,Dataset!$A:$A,$A4,Dataset!$B:$B,$B4,Dataset!$C:$C,"liquid_investments")</f>
        <v>23867</v>
      </c>
      <c r="S4" s="5">
        <f>D4*IF(C4="GBP",INDEX(FX!$F$2:$F$4,MATCH(B4,FX!$A$2:$A$4,0)),1)</f>
        <v>56674</v>
      </c>
      <c r="T4" s="5">
        <f>O4*IF(C4="GBP",INDEX(FX!$F$2:$F$4,MATCH(B4,FX!$A$2:$A$4,0)),1)</f>
        <v>15244</v>
      </c>
    </row>
    <row r="5" spans="1:20" x14ac:dyDescent="0.25">
      <c r="A5" t="s">
        <v>68</v>
      </c>
      <c r="B5">
        <v>2023</v>
      </c>
      <c r="C5" t="s">
        <v>25</v>
      </c>
      <c r="D5" s="5">
        <f>SUMIFS(Dataset!$D:$D,Dataset!$A:$A,$A5,Dataset!$B:$B,$B5,Dataset!$C:$C,"revenue")</f>
        <v>45811</v>
      </c>
      <c r="E5" s="5">
        <f>SUMIFS(Dataset!$D:$D,Dataset!$A:$A,$A5,Dataset!$B:$B,$B5,Dataset!$C:$C,"operating_profit")</f>
        <v>8193</v>
      </c>
      <c r="F5" s="6">
        <f t="shared" si="0"/>
        <v>0.17884350920084696</v>
      </c>
      <c r="G5" s="5">
        <f>SUMIFS(Dataset!$D:$D,Dataset!$A:$A,$A5,Dataset!$B:$B,$B5,Dataset!$C:$C,"profit_continuing")</f>
        <v>5961</v>
      </c>
      <c r="H5" s="6">
        <f t="shared" si="1"/>
        <v>0.13012158651852176</v>
      </c>
      <c r="I5" s="5">
        <f>SUMIFS(Dataset!$D:$D,Dataset!$A:$A,$A5,Dataset!$B:$B,$B5,Dataset!$C:$C,"rnd")</f>
        <v>10935</v>
      </c>
      <c r="J5" s="6">
        <f t="shared" si="2"/>
        <v>0.2386981292702626</v>
      </c>
      <c r="K5" s="5">
        <f>SUMIFS(Dataset!$D:$D,Dataset!$A:$A,$A5,Dataset!$B:$B,$B5,Dataset!$C:$C,"cfo")</f>
        <v>10345</v>
      </c>
      <c r="L5" s="5">
        <f>SUMIFS(Dataset!$D:$D,Dataset!$A:$A,$A5,Dataset!$B:$B,$B5,Dataset!$C:$C,"capex_ppe")</f>
        <v>1361</v>
      </c>
      <c r="M5" s="5">
        <f>SUMIFS(Dataset!$D:$D,Dataset!$A:$A,$A5,Dataset!$B:$B,$B5,Dataset!$C:$C,"capex_intangibles")</f>
        <v>2417</v>
      </c>
      <c r="N5" s="5">
        <f t="shared" si="3"/>
        <v>8984</v>
      </c>
      <c r="O5" s="5">
        <f t="shared" si="4"/>
        <v>6567</v>
      </c>
      <c r="P5" s="5">
        <f>SUMIFS(Dataset!$D:$D,Dataset!$A:$A,$A5,Dataset!$B:$B,$B5,Dataset!$C:$C,"cash")</f>
        <v>5840</v>
      </c>
      <c r="Q5" s="5">
        <f>IF(SUMIFS(Dataset!$D:$D,Dataset!$A:$A,$A5,Dataset!$B:$B,$B5,Dataset!$C:$C,"borrowings_incl_leases")&lt;&gt;0,SUMIFS(Dataset!$D:$D,Dataset!$A:$A,$A5,Dataset!$B:$B,$B5,Dataset!$C:$C,"borrowings_incl_leases"),SUMIFS(Dataset!$D:$D,Dataset!$A:$A,$A5,Dataset!$B:$B,$B5,Dataset!$C:$C,"debt_financial")+SUMIFS(Dataset!$D:$D,Dataset!$A:$A,$A5,Dataset!$B:$B,$B5,Dataset!$C:$C,"lease_liabilities"))</f>
        <v>28622</v>
      </c>
      <c r="R5" s="5">
        <f>Q5-P5-SUMIFS(Dataset!$D:$D,Dataset!$A:$A,$A5,Dataset!$B:$B,$B5,Dataset!$C:$C,"liquid_investments")</f>
        <v>22782</v>
      </c>
      <c r="S5" s="5">
        <f>D5*IF(C5="GBP",INDEX(FX!$F$2:$F$4,MATCH(B5,FX!$A$2:$A$4,0)),1)</f>
        <v>45811</v>
      </c>
      <c r="T5" s="5">
        <f>O5*IF(C5="GBP",INDEX(FX!$F$2:$F$4,MATCH(B5,FX!$A$2:$A$4,0)),1)</f>
        <v>6567</v>
      </c>
    </row>
    <row r="6" spans="1:20" x14ac:dyDescent="0.25">
      <c r="A6" t="s">
        <v>68</v>
      </c>
      <c r="B6">
        <v>2024</v>
      </c>
      <c r="C6" t="s">
        <v>25</v>
      </c>
      <c r="D6" s="5">
        <f>SUMIFS(Dataset!$D:$D,Dataset!$A:$A,$A6,Dataset!$B:$B,$B6,Dataset!$C:$C,"revenue")</f>
        <v>54073</v>
      </c>
      <c r="E6" s="5">
        <f>SUMIFS(Dataset!$D:$D,Dataset!$A:$A,$A6,Dataset!$B:$B,$B6,Dataset!$C:$C,"operating_profit")</f>
        <v>10003</v>
      </c>
      <c r="F6" s="6">
        <f t="shared" si="0"/>
        <v>0.18499066077339893</v>
      </c>
      <c r="G6" s="5">
        <f>SUMIFS(Dataset!$D:$D,Dataset!$A:$A,$A6,Dataset!$B:$B,$B6,Dataset!$C:$C,"profit_continuing")</f>
        <v>7041</v>
      </c>
      <c r="H6" s="6">
        <f t="shared" si="1"/>
        <v>0.13021286039243246</v>
      </c>
      <c r="I6" s="5">
        <f>SUMIFS(Dataset!$D:$D,Dataset!$A:$A,$A6,Dataset!$B:$B,$B6,Dataset!$C:$C,"rnd")</f>
        <v>13583</v>
      </c>
      <c r="J6" s="6">
        <f t="shared" si="2"/>
        <v>0.25119745529192017</v>
      </c>
      <c r="K6" s="5">
        <f>SUMIFS(Dataset!$D:$D,Dataset!$A:$A,$A6,Dataset!$B:$B,$B6,Dataset!$C:$C,"cfo")</f>
        <v>11861</v>
      </c>
      <c r="L6" s="5">
        <f>SUMIFS(Dataset!$D:$D,Dataset!$A:$A,$A6,Dataset!$B:$B,$B6,Dataset!$C:$C,"capex_ppe")</f>
        <v>1924</v>
      </c>
      <c r="M6" s="5">
        <f>SUMIFS(Dataset!$D:$D,Dataset!$A:$A,$A6,Dataset!$B:$B,$B6,Dataset!$C:$C,"capex_intangibles")</f>
        <v>2662</v>
      </c>
      <c r="N6" s="5">
        <f t="shared" si="3"/>
        <v>9937</v>
      </c>
      <c r="O6" s="5">
        <f t="shared" si="4"/>
        <v>7275</v>
      </c>
      <c r="P6" s="5">
        <f>SUMIFS(Dataset!$D:$D,Dataset!$A:$A,$A6,Dataset!$B:$B,$B6,Dataset!$C:$C,"cash")</f>
        <v>5488</v>
      </c>
      <c r="Q6" s="5">
        <f>IF(SUMIFS(Dataset!$D:$D,Dataset!$A:$A,$A6,Dataset!$B:$B,$B6,Dataset!$C:$C,"borrowings_incl_leases")&lt;&gt;0,SUMIFS(Dataset!$D:$D,Dataset!$A:$A,$A6,Dataset!$B:$B,$B6,Dataset!$C:$C,"borrowings_incl_leases"),SUMIFS(Dataset!$D:$D,Dataset!$A:$A,$A6,Dataset!$B:$B,$B6,Dataset!$C:$C,"debt_financial")+SUMIFS(Dataset!$D:$D,Dataset!$A:$A,$A6,Dataset!$B:$B,$B6,Dataset!$C:$C,"lease_liabilities"))</f>
        <v>30295</v>
      </c>
      <c r="R6" s="5">
        <f>Q6-P6-SUMIFS(Dataset!$D:$D,Dataset!$A:$A,$A6,Dataset!$B:$B,$B6,Dataset!$C:$C,"liquid_investments")</f>
        <v>24807</v>
      </c>
      <c r="S6" s="5">
        <f>D6*IF(C6="GBP",INDEX(FX!$F$2:$F$4,MATCH(B6,FX!$A$2:$A$4,0)),1)</f>
        <v>54073</v>
      </c>
      <c r="T6" s="5">
        <f>O6*IF(C6="GBP",INDEX(FX!$F$2:$F$4,MATCH(B6,FX!$A$2:$A$4,0)),1)</f>
        <v>7275</v>
      </c>
    </row>
    <row r="7" spans="1:20" x14ac:dyDescent="0.25">
      <c r="A7" t="s">
        <v>68</v>
      </c>
      <c r="B7">
        <v>2025</v>
      </c>
      <c r="C7" t="s">
        <v>25</v>
      </c>
      <c r="D7" s="5">
        <f>SUMIFS(Dataset!$D:$D,Dataset!$A:$A,$A7,Dataset!$B:$B,$B7,Dataset!$C:$C,"revenue")</f>
        <v>58739</v>
      </c>
      <c r="E7" s="5">
        <f>SUMIFS(Dataset!$D:$D,Dataset!$A:$A,$A7,Dataset!$B:$B,$B7,Dataset!$C:$C,"operating_profit")</f>
        <v>13743</v>
      </c>
      <c r="F7" s="6">
        <f t="shared" si="0"/>
        <v>0.23396721088203748</v>
      </c>
      <c r="G7" s="5">
        <f>SUMIFS(Dataset!$D:$D,Dataset!$A:$A,$A7,Dataset!$B:$B,$B7,Dataset!$C:$C,"profit_continuing")</f>
        <v>10233</v>
      </c>
      <c r="H7" s="6">
        <f t="shared" si="1"/>
        <v>0.17421134169802005</v>
      </c>
      <c r="I7" s="5">
        <f>SUMIFS(Dataset!$D:$D,Dataset!$A:$A,$A7,Dataset!$B:$B,$B7,Dataset!$C:$C,"rnd")</f>
        <v>14232</v>
      </c>
      <c r="J7" s="6">
        <f t="shared" si="2"/>
        <v>0.24229217385382795</v>
      </c>
      <c r="K7" s="5">
        <f>SUMIFS(Dataset!$D:$D,Dataset!$A:$A,$A7,Dataset!$B:$B,$B7,Dataset!$C:$C,"cfo")</f>
        <v>14575</v>
      </c>
      <c r="L7" s="5">
        <f>SUMIFS(Dataset!$D:$D,Dataset!$A:$A,$A7,Dataset!$B:$B,$B7,Dataset!$C:$C,"capex_ppe")</f>
        <v>2810</v>
      </c>
      <c r="M7" s="5">
        <f>SUMIFS(Dataset!$D:$D,Dataset!$A:$A,$A7,Dataset!$B:$B,$B7,Dataset!$C:$C,"capex_intangibles")</f>
        <v>3095</v>
      </c>
      <c r="N7" s="5">
        <f t="shared" si="3"/>
        <v>11765</v>
      </c>
      <c r="O7" s="5">
        <f t="shared" si="4"/>
        <v>8670</v>
      </c>
      <c r="P7" s="5">
        <f>SUMIFS(Dataset!$D:$D,Dataset!$A:$A,$A7,Dataset!$B:$B,$B7,Dataset!$C:$C,"cash")</f>
        <v>5711</v>
      </c>
      <c r="Q7" s="5">
        <f>IF(SUMIFS(Dataset!$D:$D,Dataset!$A:$A,$A7,Dataset!$B:$B,$B7,Dataset!$C:$C,"borrowings_incl_leases")&lt;&gt;0,SUMIFS(Dataset!$D:$D,Dataset!$A:$A,$A7,Dataset!$B:$B,$B7,Dataset!$C:$C,"borrowings_incl_leases"),SUMIFS(Dataset!$D:$D,Dataset!$A:$A,$A7,Dataset!$B:$B,$B7,Dataset!$C:$C,"debt_financial")+SUMIFS(Dataset!$D:$D,Dataset!$A:$A,$A7,Dataset!$B:$B,$B7,Dataset!$C:$C,"lease_liabilities"))</f>
        <v>29622</v>
      </c>
      <c r="R7" s="5">
        <f>Q7-P7-SUMIFS(Dataset!$D:$D,Dataset!$A:$A,$A7,Dataset!$B:$B,$B7,Dataset!$C:$C,"liquid_investments")</f>
        <v>23911</v>
      </c>
      <c r="S7" s="5">
        <f>D7*IF(C7="GBP",INDEX(FX!$F$2:$F$4,MATCH(B7,FX!$A$2:$A$4,0)),1)</f>
        <v>58739</v>
      </c>
      <c r="T7" s="5">
        <f>O7*IF(C7="GBP",INDEX(FX!$F$2:$F$4,MATCH(B7,FX!$A$2:$A$4,0)),1)</f>
        <v>8670</v>
      </c>
    </row>
    <row r="8" spans="1:20" x14ac:dyDescent="0.25">
      <c r="A8" t="s">
        <v>94</v>
      </c>
      <c r="B8">
        <v>2023</v>
      </c>
      <c r="C8" t="s">
        <v>95</v>
      </c>
      <c r="D8" s="5">
        <f>SUMIFS(Dataset!$D:$D,Dataset!$A:$A,$A8,Dataset!$B:$B,$B8,Dataset!$C:$C,"revenue")</f>
        <v>30328</v>
      </c>
      <c r="E8" s="5">
        <f>SUMIFS(Dataset!$D:$D,Dataset!$A:$A,$A8,Dataset!$B:$B,$B8,Dataset!$C:$C,"operating_profit")</f>
        <v>6745</v>
      </c>
      <c r="F8" s="6">
        <f t="shared" si="0"/>
        <v>0.22240174096544446</v>
      </c>
      <c r="G8" s="5">
        <f>SUMIFS(Dataset!$D:$D,Dataset!$A:$A,$A8,Dataset!$B:$B,$B8,Dataset!$C:$C,"profit_continuing")</f>
        <v>5308</v>
      </c>
      <c r="H8" s="6">
        <f t="shared" si="1"/>
        <v>0.17501978369823265</v>
      </c>
      <c r="I8" s="5">
        <f>SUMIFS(Dataset!$D:$D,Dataset!$A:$A,$A8,Dataset!$B:$B,$B8,Dataset!$C:$C,"rnd")</f>
        <v>6223</v>
      </c>
      <c r="J8" s="6">
        <f t="shared" si="2"/>
        <v>0.2051899235030335</v>
      </c>
      <c r="K8" s="5">
        <f>SUMIFS(Dataset!$D:$D,Dataset!$A:$A,$A8,Dataset!$B:$B,$B8,Dataset!$C:$C,"cfo")</f>
        <v>6768</v>
      </c>
      <c r="L8" s="5">
        <f>SUMIFS(Dataset!$D:$D,Dataset!$A:$A,$A8,Dataset!$B:$B,$B8,Dataset!$C:$C,"capex_ppe")</f>
        <v>1314</v>
      </c>
      <c r="M8" s="5">
        <f>SUMIFS(Dataset!$D:$D,Dataset!$A:$A,$A8,Dataset!$B:$B,$B8,Dataset!$C:$C,"capex_intangibles")</f>
        <v>1030</v>
      </c>
      <c r="N8" s="5">
        <f t="shared" si="3"/>
        <v>5454</v>
      </c>
      <c r="O8" s="5">
        <f t="shared" si="4"/>
        <v>4424</v>
      </c>
      <c r="P8" s="5">
        <f>SUMIFS(Dataset!$D:$D,Dataset!$A:$A,$A8,Dataset!$B:$B,$B8,Dataset!$C:$C,"cash")</f>
        <v>2936</v>
      </c>
      <c r="Q8" s="5">
        <f>IF(SUMIFS(Dataset!$D:$D,Dataset!$A:$A,$A8,Dataset!$B:$B,$B8,Dataset!$C:$C,"borrowings_incl_leases")&lt;&gt;0,SUMIFS(Dataset!$D:$D,Dataset!$A:$A,$A8,Dataset!$B:$B,$B8,Dataset!$C:$C,"borrowings_incl_leases"),SUMIFS(Dataset!$D:$D,Dataset!$A:$A,$A8,Dataset!$B:$B,$B8,Dataset!$C:$C,"debt_financial")+SUMIFS(Dataset!$D:$D,Dataset!$A:$A,$A8,Dataset!$B:$B,$B8,Dataset!$C:$C,"lease_liabilities"))</f>
        <v>18018</v>
      </c>
      <c r="R8" s="5">
        <f>Q8-P8-SUMIFS(Dataset!$D:$D,Dataset!$A:$A,$A8,Dataset!$B:$B,$B8,Dataset!$C:$C,"liquid_investments")</f>
        <v>15082</v>
      </c>
      <c r="S8" s="5">
        <f>D8*IF(C8="GBP",INDEX(FX!$F$2:$F$4,MATCH(B8,FX!$A$2:$A$4,0)),1)</f>
        <v>37702.027524808691</v>
      </c>
      <c r="T8" s="5">
        <f>O8*IF(C8="GBP",INDEX(FX!$F$2:$F$4,MATCH(B8,FX!$A$2:$A$4,0)),1)</f>
        <v>5499.6626803532599</v>
      </c>
    </row>
    <row r="9" spans="1:20" x14ac:dyDescent="0.25">
      <c r="A9" t="s">
        <v>94</v>
      </c>
      <c r="B9">
        <v>2024</v>
      </c>
      <c r="C9" t="s">
        <v>95</v>
      </c>
      <c r="D9" s="5">
        <f>SUMIFS(Dataset!$D:$D,Dataset!$A:$A,$A9,Dataset!$B:$B,$B9,Dataset!$C:$C,"revenue")</f>
        <v>31376</v>
      </c>
      <c r="E9" s="5">
        <f>SUMIFS(Dataset!$D:$D,Dataset!$A:$A,$A9,Dataset!$B:$B,$B9,Dataset!$C:$C,"operating_profit")</f>
        <v>4021</v>
      </c>
      <c r="F9" s="6">
        <f t="shared" si="0"/>
        <v>0.12815527791942885</v>
      </c>
      <c r="G9" s="5">
        <f>SUMIFS(Dataset!$D:$D,Dataset!$A:$A,$A9,Dataset!$B:$B,$B9,Dataset!$C:$C,"profit_continuing")</f>
        <v>2951</v>
      </c>
      <c r="H9" s="6">
        <f t="shared" si="1"/>
        <v>9.405277919428863E-2</v>
      </c>
      <c r="I9" s="5">
        <f>SUMIFS(Dataset!$D:$D,Dataset!$A:$A,$A9,Dataset!$B:$B,$B9,Dataset!$C:$C,"rnd")</f>
        <v>6401</v>
      </c>
      <c r="J9" s="6">
        <f t="shared" si="2"/>
        <v>0.20400943396226415</v>
      </c>
      <c r="K9" s="5">
        <f>SUMIFS(Dataset!$D:$D,Dataset!$A:$A,$A9,Dataset!$B:$B,$B9,Dataset!$C:$C,"cfo")</f>
        <v>6554</v>
      </c>
      <c r="L9" s="5">
        <f>SUMIFS(Dataset!$D:$D,Dataset!$A:$A,$A9,Dataset!$B:$B,$B9,Dataset!$C:$C,"capex_ppe")</f>
        <v>1399</v>
      </c>
      <c r="M9" s="5">
        <f>SUMIFS(Dataset!$D:$D,Dataset!$A:$A,$A9,Dataset!$B:$B,$B9,Dataset!$C:$C,"capex_intangibles")</f>
        <v>1583</v>
      </c>
      <c r="N9" s="5">
        <f t="shared" si="3"/>
        <v>5155</v>
      </c>
      <c r="O9" s="5">
        <f t="shared" si="4"/>
        <v>3572</v>
      </c>
      <c r="P9" s="5">
        <f>SUMIFS(Dataset!$D:$D,Dataset!$A:$A,$A9,Dataset!$B:$B,$B9,Dataset!$C:$C,"cash")</f>
        <v>3870</v>
      </c>
      <c r="Q9" s="5">
        <f>IF(SUMIFS(Dataset!$D:$D,Dataset!$A:$A,$A9,Dataset!$B:$B,$B9,Dataset!$C:$C,"borrowings_incl_leases")&lt;&gt;0,SUMIFS(Dataset!$D:$D,Dataset!$A:$A,$A9,Dataset!$B:$B,$B9,Dataset!$C:$C,"borrowings_incl_leases"),SUMIFS(Dataset!$D:$D,Dataset!$A:$A,$A9,Dataset!$B:$B,$B9,Dataset!$C:$C,"debt_financial")+SUMIFS(Dataset!$D:$D,Dataset!$A:$A,$A9,Dataset!$B:$B,$B9,Dataset!$C:$C,"lease_liabilities"))</f>
        <v>16986</v>
      </c>
      <c r="R9" s="5">
        <f>Q9-P9-SUMIFS(Dataset!$D:$D,Dataset!$A:$A,$A9,Dataset!$B:$B,$B9,Dataset!$C:$C,"liquid_investments")</f>
        <v>13116</v>
      </c>
      <c r="S9" s="5">
        <f>D9*IF(C9="GBP",INDEX(FX!$F$2:$F$4,MATCH(B9,FX!$A$2:$A$4,0)),1)</f>
        <v>40113.517175097484</v>
      </c>
      <c r="T9" s="5">
        <f>O9*IF(C9="GBP",INDEX(FX!$F$2:$F$4,MATCH(B9,FX!$A$2:$A$4,0)),1)</f>
        <v>4566.7224422950094</v>
      </c>
    </row>
    <row r="10" spans="1:20" x14ac:dyDescent="0.25">
      <c r="A10" t="s">
        <v>94</v>
      </c>
      <c r="B10">
        <v>2025</v>
      </c>
      <c r="C10" t="s">
        <v>95</v>
      </c>
      <c r="D10" s="5">
        <f>SUMIFS(Dataset!$D:$D,Dataset!$A:$A,$A10,Dataset!$B:$B,$B10,Dataset!$C:$C,"revenue")</f>
        <v>32667</v>
      </c>
      <c r="E10" s="5">
        <f>SUMIFS(Dataset!$D:$D,Dataset!$A:$A,$A10,Dataset!$B:$B,$B10,Dataset!$C:$C,"operating_profit")</f>
        <v>7932</v>
      </c>
      <c r="F10" s="6">
        <f t="shared" si="0"/>
        <v>0.24281384883827717</v>
      </c>
      <c r="G10" s="5">
        <f>SUMIFS(Dataset!$D:$D,Dataset!$A:$A,$A10,Dataset!$B:$B,$B10,Dataset!$C:$C,"profit_continuing")</f>
        <v>6289</v>
      </c>
      <c r="H10" s="6">
        <f t="shared" si="1"/>
        <v>0.19251844368935012</v>
      </c>
      <c r="I10" s="5">
        <f>SUMIFS(Dataset!$D:$D,Dataset!$A:$A,$A10,Dataset!$B:$B,$B10,Dataset!$C:$C,"rnd")</f>
        <v>7525</v>
      </c>
      <c r="J10" s="6">
        <f t="shared" si="2"/>
        <v>0.23035479229803776</v>
      </c>
      <c r="K10" s="5">
        <f>SUMIFS(Dataset!$D:$D,Dataset!$A:$A,$A10,Dataset!$B:$B,$B10,Dataset!$C:$C,"cfo")</f>
        <v>7741</v>
      </c>
      <c r="L10" s="5">
        <f>SUMIFS(Dataset!$D:$D,Dataset!$A:$A,$A10,Dataset!$B:$B,$B10,Dataset!$C:$C,"capex_ppe")</f>
        <v>1348</v>
      </c>
      <c r="M10" s="5">
        <f>SUMIFS(Dataset!$D:$D,Dataset!$A:$A,$A10,Dataset!$B:$B,$B10,Dataset!$C:$C,"capex_intangibles")</f>
        <v>1637</v>
      </c>
      <c r="N10" s="5">
        <f t="shared" si="3"/>
        <v>6393</v>
      </c>
      <c r="O10" s="5">
        <f t="shared" si="4"/>
        <v>4756</v>
      </c>
      <c r="P10" s="5">
        <f>SUMIFS(Dataset!$D:$D,Dataset!$A:$A,$A10,Dataset!$B:$B,$B10,Dataset!$C:$C,"cash")</f>
        <v>3397</v>
      </c>
      <c r="Q10" s="5">
        <f>IF(SUMIFS(Dataset!$D:$D,Dataset!$A:$A,$A10,Dataset!$B:$B,$B10,Dataset!$C:$C,"borrowings_incl_leases")&lt;&gt;0,SUMIFS(Dataset!$D:$D,Dataset!$A:$A,$A10,Dataset!$B:$B,$B10,Dataset!$C:$C,"borrowings_incl_leases"),SUMIFS(Dataset!$D:$D,Dataset!$A:$A,$A10,Dataset!$B:$B,$B10,Dataset!$C:$C,"debt_financial")+SUMIFS(Dataset!$D:$D,Dataset!$A:$A,$A10,Dataset!$B:$B,$B10,Dataset!$C:$C,"lease_liabilities"))</f>
        <v>17720</v>
      </c>
      <c r="R10" s="5">
        <f>Q10-P10-SUMIFS(Dataset!$D:$D,Dataset!$A:$A,$A10,Dataset!$B:$B,$B10,Dataset!$C:$C,"liquid_investments")</f>
        <v>14323</v>
      </c>
      <c r="S10" s="5">
        <f>D10*IF(C10="GBP",INDEX(FX!$F$2:$F$4,MATCH(B10,FX!$A$2:$A$4,0)),1)</f>
        <v>43082.971863041355</v>
      </c>
      <c r="T10" s="5">
        <f>O10*IF(C10="GBP",INDEX(FX!$F$2:$F$4,MATCH(B10,FX!$A$2:$A$4,0)),1)</f>
        <v>6272.4650007844211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workbookViewId="0"/>
  </sheetViews>
  <sheetFormatPr defaultRowHeight="15" x14ac:dyDescent="0.25"/>
  <cols>
    <col min="1" max="1" width="62" customWidth="1"/>
    <col min="2" max="6" width="14" customWidth="1"/>
  </cols>
  <sheetData>
    <row r="1" spans="1:6" x14ac:dyDescent="0.25">
      <c r="A1" s="7" t="s">
        <v>130</v>
      </c>
    </row>
    <row r="2" spans="1:6" x14ac:dyDescent="0.25">
      <c r="A2" t="s">
        <v>131</v>
      </c>
    </row>
    <row r="4" spans="1:6" x14ac:dyDescent="0.25">
      <c r="A4" t="s">
        <v>132</v>
      </c>
      <c r="B4" s="8">
        <v>2025</v>
      </c>
    </row>
    <row r="5" spans="1:6" x14ac:dyDescent="0.25">
      <c r="A5" t="s">
        <v>133</v>
      </c>
      <c r="B5" s="5">
        <f>SUMIFS(Dataset!$D:$D,Dataset!$A:$A,"AstraZeneca",Dataset!$B:$B,2025,Dataset!$C:$C,"revenue")</f>
        <v>58739</v>
      </c>
    </row>
    <row r="6" spans="1:6" x14ac:dyDescent="0.25">
      <c r="A6" t="s">
        <v>134</v>
      </c>
      <c r="B6" s="6">
        <f>SUMIFS(Dataset!$D:$D,Dataset!$A:$A,"AstraZeneca",Dataset!$B:$B,2025,Dataset!$C:$C,"operating_profit")/B5</f>
        <v>0.23396721088203748</v>
      </c>
    </row>
    <row r="7" spans="1:6" x14ac:dyDescent="0.25">
      <c r="A7" t="s">
        <v>135</v>
      </c>
      <c r="B7" s="9">
        <v>0.18</v>
      </c>
    </row>
    <row r="8" spans="1:6" x14ac:dyDescent="0.25">
      <c r="A8" t="s">
        <v>136</v>
      </c>
      <c r="B8" s="9">
        <v>0.09</v>
      </c>
    </row>
    <row r="9" spans="1:6" x14ac:dyDescent="0.25">
      <c r="A9" t="s">
        <v>137</v>
      </c>
      <c r="B9" s="9">
        <v>0.1</v>
      </c>
    </row>
    <row r="10" spans="1:6" x14ac:dyDescent="0.25">
      <c r="A10" t="s">
        <v>138</v>
      </c>
      <c r="B10" s="9">
        <v>0.01</v>
      </c>
    </row>
    <row r="11" spans="1:6" x14ac:dyDescent="0.25">
      <c r="A11" t="s">
        <v>139</v>
      </c>
      <c r="B11" s="9">
        <v>0.25</v>
      </c>
    </row>
    <row r="12" spans="1:6" x14ac:dyDescent="0.25">
      <c r="A12" t="s">
        <v>140</v>
      </c>
      <c r="B12" s="9">
        <v>7.4999999999999997E-2</v>
      </c>
    </row>
    <row r="13" spans="1:6" x14ac:dyDescent="0.25">
      <c r="A13" t="s">
        <v>141</v>
      </c>
      <c r="B13" s="9">
        <v>0.02</v>
      </c>
    </row>
    <row r="16" spans="1:6" x14ac:dyDescent="0.25">
      <c r="A16" t="s">
        <v>142</v>
      </c>
      <c r="B16">
        <v>1</v>
      </c>
      <c r="C16">
        <v>2</v>
      </c>
      <c r="D16">
        <v>3</v>
      </c>
      <c r="E16">
        <v>4</v>
      </c>
      <c r="F16">
        <v>5</v>
      </c>
    </row>
    <row r="17" spans="1:6" x14ac:dyDescent="0.25">
      <c r="A17" t="s">
        <v>143</v>
      </c>
      <c r="B17">
        <f>$B$4+B16</f>
        <v>2026</v>
      </c>
      <c r="C17">
        <f>$B$4+C16</f>
        <v>2027</v>
      </c>
      <c r="D17">
        <f>$B$4+D16</f>
        <v>2028</v>
      </c>
      <c r="E17">
        <f>$B$4+E16</f>
        <v>2029</v>
      </c>
      <c r="F17">
        <f>$B$4+F16</f>
        <v>2030</v>
      </c>
    </row>
    <row r="18" spans="1:6" x14ac:dyDescent="0.25">
      <c r="A18" t="s">
        <v>144</v>
      </c>
      <c r="B18" s="9">
        <v>7.0000000000000007E-2</v>
      </c>
      <c r="C18" s="9">
        <v>0.06</v>
      </c>
      <c r="D18" s="9">
        <v>0.05</v>
      </c>
      <c r="E18" s="9">
        <v>0.04</v>
      </c>
      <c r="F18" s="9">
        <v>3.5000000000000003E-2</v>
      </c>
    </row>
    <row r="19" spans="1:6" x14ac:dyDescent="0.25">
      <c r="A19" t="s">
        <v>69</v>
      </c>
      <c r="B19" s="5">
        <f>B5*(1+B18)</f>
        <v>62850.73</v>
      </c>
      <c r="C19" s="5">
        <f>B19*(1+C18)</f>
        <v>66621.77380000001</v>
      </c>
      <c r="D19" s="5">
        <f>C19*(1+D18)</f>
        <v>69952.862490000014</v>
      </c>
      <c r="E19" s="5">
        <f>D19*(1+E18)</f>
        <v>72750.976989600022</v>
      </c>
      <c r="F19" s="5">
        <f>E19*(1+F18)</f>
        <v>75297.26118423602</v>
      </c>
    </row>
    <row r="20" spans="1:6" x14ac:dyDescent="0.25">
      <c r="A20" t="s">
        <v>115</v>
      </c>
      <c r="B20" s="6">
        <f>$B$6+($B$11-$B$6)*B16/5</f>
        <v>0.23717376870562998</v>
      </c>
      <c r="C20" s="6">
        <f>$B$6+($B$11-$B$6)*C16/5</f>
        <v>0.24038032652922248</v>
      </c>
      <c r="D20" s="6">
        <f>$B$6+($B$11-$B$6)*D16/5</f>
        <v>0.243586884352815</v>
      </c>
      <c r="E20" s="6">
        <f>$B$6+($B$11-$B$6)*E16/5</f>
        <v>0.2467934421764075</v>
      </c>
      <c r="F20" s="6">
        <f>$B$6+($B$11-$B$6)*F16/5</f>
        <v>0.25</v>
      </c>
    </row>
    <row r="21" spans="1:6" x14ac:dyDescent="0.25">
      <c r="A21" t="s">
        <v>145</v>
      </c>
      <c r="B21" s="5">
        <f>B19*B20</f>
        <v>14906.5445</v>
      </c>
      <c r="C21" s="5">
        <f>C19*C20</f>
        <v>16014.563740000001</v>
      </c>
      <c r="D21" s="5">
        <f>D19*D20</f>
        <v>17039.599825500005</v>
      </c>
      <c r="E21" s="5">
        <f>E19*E20</f>
        <v>17954.464032960004</v>
      </c>
      <c r="F21" s="5">
        <f>F19*F20</f>
        <v>18824.315296059005</v>
      </c>
    </row>
    <row r="22" spans="1:6" x14ac:dyDescent="0.25">
      <c r="A22" t="s">
        <v>146</v>
      </c>
      <c r="B22" s="5">
        <f>B21*(1-$B$7)</f>
        <v>12223.36649</v>
      </c>
      <c r="C22" s="5">
        <f>C21*(1-$B$7)</f>
        <v>13131.942266800002</v>
      </c>
      <c r="D22" s="5">
        <f>D21*(1-$B$7)</f>
        <v>13972.471856910006</v>
      </c>
      <c r="E22" s="5">
        <f>E21*(1-$B$7)</f>
        <v>14722.660507027205</v>
      </c>
      <c r="F22" s="5">
        <f>F21*(1-$B$7)</f>
        <v>15435.938542768385</v>
      </c>
    </row>
    <row r="23" spans="1:6" x14ac:dyDescent="0.25">
      <c r="A23" t="s">
        <v>147</v>
      </c>
      <c r="B23" s="5">
        <f>B19*$B$8</f>
        <v>5656.5657000000001</v>
      </c>
      <c r="C23" s="5">
        <f>C19*$B$8</f>
        <v>5995.9596420000007</v>
      </c>
      <c r="D23" s="5">
        <f>D19*$B$8</f>
        <v>6295.7576241000006</v>
      </c>
      <c r="E23" s="5">
        <f>E19*$B$8</f>
        <v>6547.5879290640014</v>
      </c>
      <c r="F23" s="5">
        <f>F19*$B$8</f>
        <v>6776.7535065812417</v>
      </c>
    </row>
    <row r="24" spans="1:6" x14ac:dyDescent="0.25">
      <c r="A24" t="s">
        <v>148</v>
      </c>
      <c r="B24" s="5">
        <f>B19*$B$9</f>
        <v>6285.0730000000003</v>
      </c>
      <c r="C24" s="5">
        <f>C19*$B$9</f>
        <v>6662.177380000001</v>
      </c>
      <c r="D24" s="5">
        <f>D19*$B$9</f>
        <v>6995.2862490000016</v>
      </c>
      <c r="E24" s="5">
        <f>E19*$B$9</f>
        <v>7275.0976989600022</v>
      </c>
      <c r="F24" s="5">
        <f>F19*$B$9</f>
        <v>7529.7261184236022</v>
      </c>
    </row>
    <row r="25" spans="1:6" x14ac:dyDescent="0.25">
      <c r="A25" t="s">
        <v>149</v>
      </c>
      <c r="B25" s="5">
        <f>B19*$B$10</f>
        <v>628.5073000000001</v>
      </c>
      <c r="C25" s="5">
        <f>C19*$B$10</f>
        <v>666.21773800000017</v>
      </c>
      <c r="D25" s="5">
        <f>D19*$B$10</f>
        <v>699.52862490000018</v>
      </c>
      <c r="E25" s="5">
        <f>E19*$B$10</f>
        <v>727.50976989600019</v>
      </c>
      <c r="F25" s="5">
        <f>F19*$B$10</f>
        <v>752.97261184236027</v>
      </c>
    </row>
    <row r="26" spans="1:6" x14ac:dyDescent="0.25">
      <c r="A26" t="s">
        <v>150</v>
      </c>
      <c r="B26" s="5">
        <f>B22+B23-B24-B25</f>
        <v>10966.35189</v>
      </c>
      <c r="C26" s="5">
        <f>C22+C23-C24-C25</f>
        <v>11799.506790800002</v>
      </c>
      <c r="D26" s="5">
        <f>D22+D23-D24-D25</f>
        <v>12573.414607110006</v>
      </c>
      <c r="E26" s="5">
        <f>E22+E23-E24-E25</f>
        <v>13267.640967235204</v>
      </c>
      <c r="F26" s="5">
        <f>F22+F23-F24-F25</f>
        <v>13929.993319083664</v>
      </c>
    </row>
    <row r="27" spans="1:6" x14ac:dyDescent="0.25">
      <c r="A27" t="s">
        <v>151</v>
      </c>
      <c r="B27" s="10">
        <f>1/(1+$B$12)^B16</f>
        <v>0.93023255813953487</v>
      </c>
      <c r="C27" s="10">
        <f>1/(1+$B$12)^C16</f>
        <v>0.86533261222282321</v>
      </c>
      <c r="D27" s="10">
        <f>1/(1+$B$12)^D16</f>
        <v>0.80496056950960304</v>
      </c>
      <c r="E27" s="10">
        <f>1/(1+$B$12)^E16</f>
        <v>0.7488005297763749</v>
      </c>
      <c r="F27" s="10">
        <f>1/(1+$B$12)^F16</f>
        <v>0.69655863235011617</v>
      </c>
    </row>
    <row r="28" spans="1:6" x14ac:dyDescent="0.25">
      <c r="A28" t="s">
        <v>152</v>
      </c>
      <c r="B28" s="5">
        <f>B26*B27</f>
        <v>10201.257572093024</v>
      </c>
      <c r="C28" s="5">
        <f>C26*C27</f>
        <v>10210.498034223907</v>
      </c>
      <c r="D28" s="5">
        <f>D26*D27</f>
        <v>10121.102982819632</v>
      </c>
      <c r="E28" s="5">
        <f>E26*E27</f>
        <v>9934.8165851484555</v>
      </c>
      <c r="F28" s="5">
        <f>F26*F27</f>
        <v>9703.0570949871726</v>
      </c>
    </row>
    <row r="30" spans="1:6" x14ac:dyDescent="0.25">
      <c r="A30" t="s">
        <v>153</v>
      </c>
      <c r="B30" s="5">
        <f>SUM(B28:F28)</f>
        <v>50170.732269272194</v>
      </c>
    </row>
    <row r="31" spans="1:6" x14ac:dyDescent="0.25">
      <c r="A31" t="s">
        <v>154</v>
      </c>
      <c r="B31" s="5">
        <f>F26*(1+B13)/(B12-B13)</f>
        <v>258338.0579175516</v>
      </c>
    </row>
    <row r="32" spans="1:6" x14ac:dyDescent="0.25">
      <c r="A32" t="s">
        <v>155</v>
      </c>
      <c r="B32" s="5">
        <f>B31*F27</f>
        <v>179947.60430703484</v>
      </c>
    </row>
    <row r="33" spans="1:2" x14ac:dyDescent="0.25">
      <c r="A33" s="7" t="s">
        <v>156</v>
      </c>
      <c r="B33" s="5">
        <f>B30+B32</f>
        <v>230118.33657630702</v>
      </c>
    </row>
    <row r="34" spans="1:2" x14ac:dyDescent="0.25">
      <c r="A34" t="s">
        <v>157</v>
      </c>
      <c r="B34" s="6">
        <f>B32/B33</f>
        <v>0.78197855496562907</v>
      </c>
    </row>
    <row r="36" spans="1:2" x14ac:dyDescent="0.25">
      <c r="A36" s="7" t="s">
        <v>158</v>
      </c>
    </row>
    <row r="37" spans="1:2" x14ac:dyDescent="0.25">
      <c r="A37" t="s">
        <v>159</v>
      </c>
      <c r="B37" s="5">
        <f>SUMIFS(Dataset!$D:$D,Dataset!$A:$A,"AstraZeneca",Dataset!$B:$B,2025,Dataset!$C:$C,"borrowings_incl_leases")</f>
        <v>29622</v>
      </c>
    </row>
    <row r="38" spans="1:2" x14ac:dyDescent="0.25">
      <c r="A38" t="s">
        <v>160</v>
      </c>
      <c r="B38" s="5">
        <f>SUMIFS(Dataset!$D:$D,Dataset!$A:$A,"AstraZeneca",Dataset!$B:$B,2025,Dataset!$C:$C,"cash")</f>
        <v>5711</v>
      </c>
    </row>
    <row r="39" spans="1:2" x14ac:dyDescent="0.25">
      <c r="A39" t="s">
        <v>161</v>
      </c>
      <c r="B39" s="5">
        <f>SUMIFS(Dataset!$D:$D,Dataset!$A:$A,"AstraZeneca",Dataset!$B:$B,2025,Dataset!$C:$C,"equity_method_investments")</f>
        <v>302</v>
      </c>
    </row>
    <row r="40" spans="1:2" x14ac:dyDescent="0.25">
      <c r="A40" t="s">
        <v>162</v>
      </c>
      <c r="B40" s="5">
        <f>SUMIFS(Dataset!$D:$D,Dataset!$A:$A,"AstraZeneca",Dataset!$B:$B,2025,Dataset!$C:$C,"pension_liability")</f>
        <v>1105</v>
      </c>
    </row>
    <row r="41" spans="1:2" x14ac:dyDescent="0.25">
      <c r="A41" t="s">
        <v>163</v>
      </c>
      <c r="B41" s="5">
        <f>SUMIFS(Dataset!$D:$D,Dataset!$A:$A,"AstraZeneca",Dataset!$B:$B,2025,Dataset!$C:$C,"nci_book")</f>
        <v>52</v>
      </c>
    </row>
    <row r="42" spans="1:2" x14ac:dyDescent="0.25">
      <c r="A42" t="s">
        <v>164</v>
      </c>
      <c r="B42" s="5">
        <f>B33-B37+B38+B39-B40-B41</f>
        <v>205352.33657630702</v>
      </c>
    </row>
    <row r="43" spans="1:2" x14ac:dyDescent="0.25">
      <c r="A43" t="s">
        <v>165</v>
      </c>
      <c r="B43" s="11">
        <f>SUMIFS(Dataset!$D:$D,Dataset!$A:$A,"AstraZeneca",Dataset!$B:$B,2025,Dataset!$C:$C,"shares_outstanding_m")</f>
        <v>1550.907927</v>
      </c>
    </row>
    <row r="44" spans="1:2" x14ac:dyDescent="0.25">
      <c r="A44" s="7" t="s">
        <v>166</v>
      </c>
      <c r="B44" s="11">
        <f>B42/B43</f>
        <v>132.40781931750809</v>
      </c>
    </row>
    <row r="46" spans="1:2" x14ac:dyDescent="0.25">
      <c r="A46" t="s">
        <v>167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workbookViewId="0"/>
  </sheetViews>
  <sheetFormatPr defaultRowHeight="15" x14ac:dyDescent="0.25"/>
  <cols>
    <col min="1" max="1" width="14" customWidth="1"/>
  </cols>
  <sheetData>
    <row r="1" spans="1:6" x14ac:dyDescent="0.25">
      <c r="A1" s="7" t="s">
        <v>168</v>
      </c>
    </row>
    <row r="4" spans="1:6" x14ac:dyDescent="0.25">
      <c r="A4" t="s">
        <v>169</v>
      </c>
      <c r="B4" s="12">
        <v>0.01</v>
      </c>
      <c r="C4" s="12">
        <v>1.4999999999999999E-2</v>
      </c>
      <c r="D4" s="12">
        <v>0.02</v>
      </c>
      <c r="E4" s="12">
        <v>2.5000000000000001E-2</v>
      </c>
      <c r="F4" s="12">
        <v>0.03</v>
      </c>
    </row>
    <row r="5" spans="1:6" x14ac:dyDescent="0.25">
      <c r="A5" s="12">
        <v>0.06</v>
      </c>
      <c r="B5" s="13">
        <f>IF($A5&lt;=B$4,NA(),(SUMPRODUCT(DCF!$B$26:$F$26/(1+$A5)^DCF!$B$16:$F$16)+DCF!$F$26*(1+B$4)/($A5-B$4)/(1+$A5)^5-DCF!$B$37+DCF!$B$38+DCF!$B$39-DCF!$B$40-DCF!$B$41)/DCF!$B$43)</f>
        <v>153.34528524989491</v>
      </c>
      <c r="C5" s="13">
        <f>IF($A5&lt;=C$4,NA(),(SUMPRODUCT(DCF!$B$26:$F$26/(1+$A5)^DCF!$B$16:$F$16)+DCF!$F$26*(1+C$4)/($A5-C$4)/(1+$A5)^5-DCF!$B$37+DCF!$B$38+DCF!$B$39-DCF!$B$40-DCF!$B$41)/DCF!$B$43)</f>
        <v>169.15517777213796</v>
      </c>
      <c r="D5" s="13">
        <f>IF($A5&lt;=D$4,NA(),(SUMPRODUCT(DCF!$B$26:$F$26/(1+$A5)^DCF!$B$16:$F$16)+DCF!$F$26*(1+D$4)/($A5-D$4)/(1+$A5)^5-DCF!$B$37+DCF!$B$38+DCF!$B$39-DCF!$B$40-DCF!$B$41)/DCF!$B$43)</f>
        <v>188.91754342494173</v>
      </c>
      <c r="E5" s="13">
        <f>IF($A5&lt;=E$4,NA(),(SUMPRODUCT(DCF!$B$26:$F$26/(1+$A5)^DCF!$B$16:$F$16)+DCF!$F$26*(1+E$4)/($A5-E$4)/(1+$A5)^5-DCF!$B$37+DCF!$B$38+DCF!$B$39-DCF!$B$40-DCF!$B$41)/DCF!$B$43)</f>
        <v>214.32629926426085</v>
      </c>
      <c r="F5" s="13">
        <f>IF($A5&lt;=F$4,NA(),(SUMPRODUCT(DCF!$B$26:$F$26/(1+$A5)^DCF!$B$16:$F$16)+DCF!$F$26*(1+F$4)/($A5-F$4)/(1+$A5)^5-DCF!$B$37+DCF!$B$38+DCF!$B$39-DCF!$B$40-DCF!$B$41)/DCF!$B$43)</f>
        <v>248.20464038335302</v>
      </c>
    </row>
    <row r="6" spans="1:6" x14ac:dyDescent="0.25">
      <c r="A6" s="12">
        <v>6.5000000000000002E-2</v>
      </c>
      <c r="B6" s="13">
        <f>IF($A6&lt;=B$4,NA(),(SUMPRODUCT(DCF!$B$26:$F$26/(1+$A6)^DCF!$B$16:$F$16)+DCF!$F$26*(1+B$4)/($A6-B$4)/(1+$A6)^5-DCF!$B$37+DCF!$B$38+DCF!$B$39-DCF!$B$40-DCF!$B$41)/DCF!$B$43)</f>
        <v>137.68126613740804</v>
      </c>
      <c r="C6" s="13">
        <f>IF($A6&lt;=C$4,NA(),(SUMPRODUCT(DCF!$B$26:$F$26/(1+$A6)^DCF!$B$16:$F$16)+DCF!$F$26*(1+C$4)/($A6-C$4)/(1+$A6)^5-DCF!$B$37+DCF!$B$38+DCF!$B$39-DCF!$B$40-DCF!$B$41)/DCF!$B$43)</f>
        <v>150.37542040364147</v>
      </c>
      <c r="D6" s="13">
        <f>IF($A6&lt;=D$4,NA(),(SUMPRODUCT(DCF!$B$26:$F$26/(1+$A6)^DCF!$B$16:$F$16)+DCF!$F$26*(1+D$4)/($A6-D$4)/(1+$A6)^5-DCF!$B$37+DCF!$B$38+DCF!$B$39-DCF!$B$40-DCF!$B$41)/DCF!$B$43)</f>
        <v>165.89049784014901</v>
      </c>
      <c r="E6" s="13">
        <f>IF($A6&lt;=E$4,NA(),(SUMPRODUCT(DCF!$B$26:$F$26/(1+$A6)^DCF!$B$16:$F$16)+DCF!$F$26*(1+E$4)/($A6-E$4)/(1+$A6)^5-DCF!$B$37+DCF!$B$38+DCF!$B$39-DCF!$B$40-DCF!$B$41)/DCF!$B$43)</f>
        <v>185.28434463578338</v>
      </c>
      <c r="F6" s="13">
        <f>IF($A6&lt;=F$4,NA(),(SUMPRODUCT(DCF!$B$26:$F$26/(1+$A6)^DCF!$B$16:$F$16)+DCF!$F$26*(1+F$4)/($A6-F$4)/(1+$A6)^5-DCF!$B$37+DCF!$B$38+DCF!$B$39-DCF!$B$40-DCF!$B$41)/DCF!$B$43)</f>
        <v>210.21929051588478</v>
      </c>
    </row>
    <row r="7" spans="1:6" x14ac:dyDescent="0.25">
      <c r="A7" s="12">
        <v>7.0000000000000007E-2</v>
      </c>
      <c r="B7" s="13">
        <f>IF($A7&lt;=B$4,NA(),(SUMPRODUCT(DCF!$B$26:$F$26/(1+$A7)^DCF!$B$16:$F$16)+DCF!$F$26*(1+B$4)/($A7-B$4)/(1+$A7)^5-DCF!$B$37+DCF!$B$38+DCF!$B$39-DCF!$B$40-DCF!$B$41)/DCF!$B$43)</f>
        <v>124.63234903141017</v>
      </c>
      <c r="C7" s="13">
        <f>IF($A7&lt;=C$4,NA(),(SUMPRODUCT(DCF!$B$26:$F$26/(1+$A7)^DCF!$B$16:$F$16)+DCF!$F$26*(1+C$4)/($A7-C$4)/(1+$A7)^5-DCF!$B$37+DCF!$B$38+DCF!$B$39-DCF!$B$40-DCF!$B$41)/DCF!$B$43)</f>
        <v>135.0144642935401</v>
      </c>
      <c r="D7" s="13">
        <f>IF($A7&lt;=D$4,NA(),(SUMPRODUCT(DCF!$B$26:$F$26/(1+$A7)^DCF!$B$16:$F$16)+DCF!$F$26*(1+D$4)/($A7-D$4)/(1+$A7)^5-DCF!$B$37+DCF!$B$38+DCF!$B$39-DCF!$B$40-DCF!$B$41)/DCF!$B$43)</f>
        <v>147.47300260809612</v>
      </c>
      <c r="E7" s="13">
        <f>IF($A7&lt;=E$4,NA(),(SUMPRODUCT(DCF!$B$26:$F$26/(1+$A7)^DCF!$B$16:$F$16)+DCF!$F$26*(1+E$4)/($A7-E$4)/(1+$A7)^5-DCF!$B$37+DCF!$B$38+DCF!$B$39-DCF!$B$40-DCF!$B$41)/DCF!$B$43)</f>
        <v>162.70010499255338</v>
      </c>
      <c r="F7" s="13">
        <f>IF($A7&lt;=F$4,NA(),(SUMPRODUCT(DCF!$B$26:$F$26/(1+$A7)^DCF!$B$16:$F$16)+DCF!$F$26*(1+F$4)/($A7-F$4)/(1+$A7)^5-DCF!$B$37+DCF!$B$38+DCF!$B$39-DCF!$B$40-DCF!$B$41)/DCF!$B$43)</f>
        <v>181.73398297312499</v>
      </c>
    </row>
    <row r="8" spans="1:6" x14ac:dyDescent="0.25">
      <c r="A8" s="12">
        <v>7.4999999999999997E-2</v>
      </c>
      <c r="B8" s="13">
        <f>IF($A8&lt;=B$4,NA(),(SUMPRODUCT(DCF!$B$26:$F$26/(1+$A8)^DCF!$B$16:$F$16)+DCF!$F$26*(1+B$4)/($A8-B$4)/(1+$A8)^5-DCF!$B$37+DCF!$B$38+DCF!$B$39-DCF!$B$40-DCF!$B$41)/DCF!$B$43)</f>
        <v>113.59495214265337</v>
      </c>
      <c r="C8" s="13">
        <f>IF($A8&lt;=C$4,NA(),(SUMPRODUCT(DCF!$B$26:$F$26/(1+$A8)^DCF!$B$16:$F$16)+DCF!$F$26*(1+C$4)/($A8-C$4)/(1+$A8)^5-DCF!$B$37+DCF!$B$38+DCF!$B$39-DCF!$B$40-DCF!$B$41)/DCF!$B$43)</f>
        <v>122.21751626446176</v>
      </c>
      <c r="D8" s="13">
        <f>IF($A8&lt;=D$4,NA(),(SUMPRODUCT(DCF!$B$26:$F$26/(1+$A8)^DCF!$B$16:$F$16)+DCF!$F$26*(1+D$4)/($A8-D$4)/(1+$A8)^5-DCF!$B$37+DCF!$B$38+DCF!$B$39-DCF!$B$40-DCF!$B$41)/DCF!$B$43)</f>
        <v>132.40781931750809</v>
      </c>
      <c r="E8" s="13">
        <f>IF($A8&lt;=E$4,NA(),(SUMPRODUCT(DCF!$B$26:$F$26/(1+$A8)^DCF!$B$16:$F$16)+DCF!$F$26*(1+E$4)/($A8-E$4)/(1+$A8)^5-DCF!$B$37+DCF!$B$38+DCF!$B$39-DCF!$B$40-DCF!$B$41)/DCF!$B$43)</f>
        <v>144.63618298116367</v>
      </c>
      <c r="F8" s="13">
        <f>IF($A8&lt;=F$4,NA(),(SUMPRODUCT(DCF!$B$26:$F$26/(1+$A8)^DCF!$B$16:$F$16)+DCF!$F$26*(1+F$4)/($A8-F$4)/(1+$A8)^5-DCF!$B$37+DCF!$B$38+DCF!$B$39-DCF!$B$40-DCF!$B$41)/DCF!$B$43)</f>
        <v>159.58196079229828</v>
      </c>
    </row>
    <row r="9" spans="1:6" x14ac:dyDescent="0.25">
      <c r="A9" s="12">
        <v>0.08</v>
      </c>
      <c r="B9" s="13">
        <f>IF($A9&lt;=B$4,NA(),(SUMPRODUCT(DCF!$B$26:$F$26/(1+$A9)^DCF!$B$16:$F$16)+DCF!$F$26*(1+B$4)/($A9-B$4)/(1+$A9)^5-DCF!$B$37+DCF!$B$38+DCF!$B$39-DCF!$B$40-DCF!$B$41)/DCF!$B$43)</f>
        <v>104.13794821999743</v>
      </c>
      <c r="C9" s="13">
        <f>IF($A9&lt;=C$4,NA(),(SUMPRODUCT(DCF!$B$26:$F$26/(1+$A9)^DCF!$B$16:$F$16)+DCF!$F$26*(1+C$4)/($A9-C$4)/(1+$A9)^5-DCF!$B$37+DCF!$B$38+DCF!$B$39-DCF!$B$40-DCF!$B$41)/DCF!$B$43)</f>
        <v>111.39279889897817</v>
      </c>
      <c r="D9" s="13">
        <f>IF($A9&lt;=D$4,NA(),(SUMPRODUCT(DCF!$B$26:$F$26/(1+$A9)^DCF!$B$16:$F$16)+DCF!$F$26*(1+D$4)/($A9-D$4)/(1+$A9)^5-DCF!$B$37+DCF!$B$38+DCF!$B$39-DCF!$B$40-DCF!$B$41)/DCF!$B$43)</f>
        <v>119.85679135778905</v>
      </c>
      <c r="E9" s="13">
        <f>IF($A9&lt;=E$4,NA(),(SUMPRODUCT(DCF!$B$26:$F$26/(1+$A9)^DCF!$B$16:$F$16)+DCF!$F$26*(1+E$4)/($A9-E$4)/(1+$A9)^5-DCF!$B$37+DCF!$B$38+DCF!$B$39-DCF!$B$40-DCF!$B$41)/DCF!$B$43)</f>
        <v>129.85969153638371</v>
      </c>
      <c r="F9" s="13">
        <f>IF($A9&lt;=F$4,NA(),(SUMPRODUCT(DCF!$B$26:$F$26/(1+$A9)^DCF!$B$16:$F$16)+DCF!$F$26*(1+F$4)/($A9-F$4)/(1+$A9)^5-DCF!$B$37+DCF!$B$38+DCF!$B$39-DCF!$B$40-DCF!$B$41)/DCF!$B$43)</f>
        <v>141.86317175069732</v>
      </c>
    </row>
    <row r="10" spans="1:6" x14ac:dyDescent="0.25">
      <c r="A10" s="12">
        <v>8.5000000000000006E-2</v>
      </c>
      <c r="B10" s="13">
        <f>IF($A10&lt;=B$4,NA(),(SUMPRODUCT(DCF!$B$26:$F$26/(1+$A10)^DCF!$B$16:$F$16)+DCF!$F$26*(1+B$4)/($A10-B$4)/(1+$A10)^5-DCF!$B$37+DCF!$B$38+DCF!$B$39-DCF!$B$40-DCF!$B$41)/DCF!$B$43)</f>
        <v>95.945179622118573</v>
      </c>
      <c r="C10" s="13">
        <f>IF($A10&lt;=C$4,NA(),(SUMPRODUCT(DCF!$B$26:$F$26/(1+$A10)^DCF!$B$16:$F$16)+DCF!$F$26*(1+C$4)/($A10-C$4)/(1+$A10)^5-DCF!$B$37+DCF!$B$38+DCF!$B$39-DCF!$B$40-DCF!$B$41)/DCF!$B$43)</f>
        <v>102.11761626181146</v>
      </c>
      <c r="D10" s="13">
        <f>IF($A10&lt;=D$4,NA(),(SUMPRODUCT(DCF!$B$26:$F$26/(1+$A10)^DCF!$B$16:$F$16)+DCF!$F$26*(1+D$4)/($A10-D$4)/(1+$A10)^5-DCF!$B$37+DCF!$B$38+DCF!$B$39-DCF!$B$40-DCF!$B$41)/DCF!$B$43)</f>
        <v>109.23965853838017</v>
      </c>
      <c r="E10" s="13">
        <f>IF($A10&lt;=E$4,NA(),(SUMPRODUCT(DCF!$B$26:$F$26/(1+$A10)^DCF!$B$16:$F$16)+DCF!$F$26*(1+E$4)/($A10-E$4)/(1+$A10)^5-DCF!$B$37+DCF!$B$38+DCF!$B$39-DCF!$B$40-DCF!$B$41)/DCF!$B$43)</f>
        <v>117.54870786104364</v>
      </c>
      <c r="F10" s="13">
        <f>IF($A10&lt;=F$4,NA(),(SUMPRODUCT(DCF!$B$26:$F$26/(1+$A10)^DCF!$B$16:$F$16)+DCF!$F$26*(1+F$4)/($A10-F$4)/(1+$A10)^5-DCF!$B$37+DCF!$B$38+DCF!$B$39-DCF!$B$40-DCF!$B$41)/DCF!$B$43)</f>
        <v>127.36849342419139</v>
      </c>
    </row>
    <row r="11" spans="1:6" x14ac:dyDescent="0.25">
      <c r="A11" s="12">
        <v>0.09</v>
      </c>
      <c r="B11" s="13">
        <f>IF($A11&lt;=B$4,NA(),(SUMPRODUCT(DCF!$B$26:$F$26/(1+$A11)^DCF!$B$16:$F$16)+DCF!$F$26*(1+B$4)/($A11-B$4)/(1+$A11)^5-DCF!$B$37+DCF!$B$38+DCF!$B$39-DCF!$B$40-DCF!$B$41)/DCF!$B$43)</f>
        <v>88.779530240311075</v>
      </c>
      <c r="C11" s="13">
        <f>IF($A11&lt;=C$4,NA(),(SUMPRODUCT(DCF!$B$26:$F$26/(1+$A11)^DCF!$B$16:$F$16)+DCF!$F$26*(1+C$4)/($A11-C$4)/(1+$A11)^5-DCF!$B$37+DCF!$B$38+DCF!$B$39-DCF!$B$40-DCF!$B$41)/DCF!$B$43)</f>
        <v>94.081993335964498</v>
      </c>
      <c r="D11" s="13">
        <f>IF($A11&lt;=D$4,NA(),(SUMPRODUCT(DCF!$B$26:$F$26/(1+$A11)^DCF!$B$16:$F$16)+DCF!$F$26*(1+D$4)/($A11-D$4)/(1+$A11)^5-DCF!$B$37+DCF!$B$38+DCF!$B$39-DCF!$B$40-DCF!$B$41)/DCF!$B$43)</f>
        <v>100.14195115956842</v>
      </c>
      <c r="E11" s="13">
        <f>IF($A11&lt;=E$4,NA(),(SUMPRODUCT(DCF!$B$26:$F$26/(1+$A11)^DCF!$B$16:$F$16)+DCF!$F$26*(1+E$4)/($A11-E$4)/(1+$A11)^5-DCF!$B$37+DCF!$B$38+DCF!$B$39-DCF!$B$40-DCF!$B$41)/DCF!$B$43)</f>
        <v>107.13421018680367</v>
      </c>
      <c r="F11" s="13">
        <f>IF($A11&lt;=F$4,NA(),(SUMPRODUCT(DCF!$B$26:$F$26/(1+$A11)^DCF!$B$16:$F$16)+DCF!$F$26*(1+F$4)/($A11-F$4)/(1+$A11)^5-DCF!$B$37+DCF!$B$38+DCF!$B$39-DCF!$B$40-DCF!$B$41)/DCF!$B$43)</f>
        <v>115.29184571857819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heetViews>
  <sheetFormatPr defaultRowHeight="15" x14ac:dyDescent="0.25"/>
  <cols>
    <col min="1" max="1" width="95" customWidth="1"/>
    <col min="2" max="2" width="12" customWidth="1"/>
    <col min="3" max="3" width="45" customWidth="1"/>
  </cols>
  <sheetData>
    <row r="1" spans="1:3" x14ac:dyDescent="0.25">
      <c r="A1" s="3" t="s">
        <v>170</v>
      </c>
      <c r="B1" s="3" t="s">
        <v>171</v>
      </c>
      <c r="C1" s="3" t="s">
        <v>172</v>
      </c>
    </row>
    <row r="2" spans="1:3" x14ac:dyDescent="0.25">
      <c r="A2" t="s">
        <v>173</v>
      </c>
      <c r="B2" t="b">
        <f>ABS(DCF!B42-(DCF!B33-DCF!B37+DCF!B38+DCF!B39-DCF!B40-DCF!B41))&lt;0.001</f>
        <v>1</v>
      </c>
      <c r="C2" t="s">
        <v>174</v>
      </c>
    </row>
    <row r="3" spans="1:3" x14ac:dyDescent="0.25">
      <c r="A3" t="s">
        <v>175</v>
      </c>
      <c r="B3" t="b">
        <f>DCF!B12&gt;DCF!B13</f>
        <v>1</v>
      </c>
      <c r="C3" t="s">
        <v>176</v>
      </c>
    </row>
    <row r="4" spans="1:3" x14ac:dyDescent="0.25">
      <c r="A4" t="s">
        <v>177</v>
      </c>
      <c r="B4" t="b">
        <f>AND(DCF!C27&lt;DCF!B27,DCF!D27&lt;DCF!C27,DCF!E27&lt;DCF!D27,DCF!F27&lt;DCF!E27)</f>
        <v>1</v>
      </c>
      <c r="C4" t="s">
        <v>178</v>
      </c>
    </row>
    <row r="5" spans="1:3" x14ac:dyDescent="0.25">
      <c r="A5" t="s">
        <v>179</v>
      </c>
      <c r="B5" t="b">
        <f>AND(DCF!B34&gt;0,DCF!B34&lt;1)</f>
        <v>1</v>
      </c>
      <c r="C5" t="s">
        <v>180</v>
      </c>
    </row>
    <row r="6" spans="1:3" x14ac:dyDescent="0.25">
      <c r="A6" t="s">
        <v>181</v>
      </c>
      <c r="B6" t="b">
        <f>ABS(Sensitivity!D8-DCF!B44)&lt;0.001</f>
        <v>1</v>
      </c>
      <c r="C6" t="s">
        <v>182</v>
      </c>
    </row>
    <row r="7" spans="1:3" x14ac:dyDescent="0.25">
      <c r="A7" t="s">
        <v>183</v>
      </c>
      <c r="B7" t="b">
        <f>ABS(DCF!B44-132.407819317508)/132.407819317508&lt;0.0001</f>
        <v>1</v>
      </c>
      <c r="C7" t="s">
        <v>184</v>
      </c>
    </row>
    <row r="8" spans="1:3" x14ac:dyDescent="0.25">
      <c r="A8" t="s">
        <v>185</v>
      </c>
      <c r="B8" t="b">
        <f>ABS(DCF!B33-230118.336576307)/230118.336576307&lt;0.0001</f>
        <v>1</v>
      </c>
      <c r="C8" t="s">
        <v>186</v>
      </c>
    </row>
    <row r="9" spans="1:3" x14ac:dyDescent="0.25">
      <c r="A9" t="s">
        <v>187</v>
      </c>
      <c r="B9" t="b">
        <f>ABS((Comparables!R4-21947)-SUMIFS(Dataset!$D:$D,Dataset!$A:$A,"Novartis",Dataset!$B:$B,2025,Dataset!$C:$C,"lease_liabilities"))&lt;0.5</f>
        <v>1</v>
      </c>
      <c r="C9" t="s">
        <v>188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Dataset</vt:lpstr>
      <vt:lpstr>FX</vt:lpstr>
      <vt:lpstr>Comparables</vt:lpstr>
      <vt:lpstr>DCF</vt:lpstr>
      <vt:lpstr>Sensitivity</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Lindgreen</cp:lastModifiedBy>
  <dcterms:created xsi:type="dcterms:W3CDTF">2026-10-20T21:16:43Z</dcterms:created>
  <dcterms:modified xsi:type="dcterms:W3CDTF">2026-10-20T21:16:55Z</dcterms:modified>
</cp:coreProperties>
</file>